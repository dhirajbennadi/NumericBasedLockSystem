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_Embedded Cybersecurity\"/>
    </mc:Choice>
  </mc:AlternateContent>
  <bookViews>
    <workbookView xWindow="0" yWindow="0" windowWidth="23040" windowHeight="9072" activeTab="1"/>
  </bookViews>
  <sheets>
    <sheet name="Pre-Mitigated VA" sheetId="8" r:id="rId1"/>
    <sheet name="Post-Mitigated VA" sheetId="16" r:id="rId2"/>
    <sheet name="Defined Values" sheetId="9" state="veryHidden" r:id="rId3"/>
    <sheet name="Properties" sheetId="18" state="veryHidden" r:id="rId4"/>
    <sheet name="TemplatePre" sheetId="19" state="veryHidden" r:id="rId5"/>
    <sheet name="TemplatePost" sheetId="20" state="veryHidden" r:id="rId6"/>
    <sheet name="Trace Matrix" sheetId="39" state="veryHidden" r:id="rId7"/>
    <sheet name="Delay" sheetId="38" state="veryHidden" r:id="rId8"/>
    <sheet name="CSVIMPORT" sheetId="40" state="veryHidden" r:id="rId9"/>
  </sheets>
  <externalReferences>
    <externalReference r:id="rId10"/>
    <externalReference r:id="rId11"/>
  </externalReferences>
  <definedNames>
    <definedName name="_xlnm._FilterDatabase" localSheetId="1" hidden="1">'Post-Mitigated VA'!$A$5:$BH$5</definedName>
    <definedName name="_xlnm._FilterDatabase" localSheetId="0" hidden="1">'Pre-Mitigated VA'!$A$5:$BI$5</definedName>
    <definedName name="Acceptability_Occurrence_Ratings">'[1]Acceptability Table'!$B$8:$B$13</definedName>
    <definedName name="Acceptability_Severity_Ratings">'[1]Acceptability Table'!$B$8:$G$8</definedName>
    <definedName name="Acceptability_Table">'[1]Acceptability Table'!$B$8:$G$13</definedName>
    <definedName name="Access_Complexity" localSheetId="7">'[2]Defined Values'!$A$7:$C$10</definedName>
    <definedName name="Access_Complexity">'Defined Values'!$A$7:$C$10</definedName>
    <definedName name="Access_Vector" localSheetId="7">'[2]Defined Values'!$A$2:$C$5</definedName>
    <definedName name="Access_Vector">'Defined Values'!$A$2:$C$5</definedName>
    <definedName name="AccessComplexityValues" localSheetId="7">'[2]Defined Values'!$A$7:$A$10</definedName>
    <definedName name="AccessComplexityValues">'Defined Values'!$A$7:$A$10</definedName>
    <definedName name="AccessVectorValues" localSheetId="7">'[2]Defined Values'!$A$2:$A$5</definedName>
    <definedName name="AccessVectorValues">'Defined Values'!$A$2:$A$5</definedName>
    <definedName name="Authentication" localSheetId="7">'[2]Defined Values'!$A$12:$C$15</definedName>
    <definedName name="Authentication">'Defined Values'!$A$12:$C$15</definedName>
    <definedName name="AuthenticationValues" localSheetId="7">'[2]Defined Values'!$A$12:$A$15</definedName>
    <definedName name="AuthenticationValues">'Defined Values'!$A$12:$A$15</definedName>
    <definedName name="Availability_Impact" localSheetId="7">'[2]Defined Values'!$A$27:$C$30</definedName>
    <definedName name="Availability_Impact">'Defined Values'!$A$27:$C$30</definedName>
    <definedName name="Availability_Requirement" localSheetId="7">'[2]Defined Values'!$A$59:$C$62</definedName>
    <definedName name="Availability_Requirement">'Defined Values'!$A$59:$C$62</definedName>
    <definedName name="AvailabilityImpactValues" localSheetId="7">'[2]Defined Values'!$A$27:$A$30</definedName>
    <definedName name="AvailabilityImpactValues">'Defined Values'!$A$27:$A$30</definedName>
    <definedName name="Awareness">'Defined Values'!$A$39:$C$43</definedName>
    <definedName name="AwarenessValues">'Defined Values'!$A$39:$A$43</definedName>
    <definedName name="Collateral_Damage_Potential" localSheetId="7">'[2]Defined Values'!$A$32:$C$37</definedName>
    <definedName name="Collateral_Damage_Potential">'Defined Values'!$A$32:$C$37</definedName>
    <definedName name="CollateralDamagePotentialValues" localSheetId="7">'[2]Defined Values'!$A$32:$A$37</definedName>
    <definedName name="CollateralDamagePotentialValues">'Defined Values'!$A$32:$A$37</definedName>
    <definedName name="Confidentiality_Impact" localSheetId="7">'[2]Defined Values'!$A$17:$C$20</definedName>
    <definedName name="Confidentiality_Impact">'Defined Values'!$A$17:$C$20</definedName>
    <definedName name="Confidentiality_Requirement" localSheetId="7">'[2]Defined Values'!$A$49:$C$52</definedName>
    <definedName name="Confidentiality_Requirement">'Defined Values'!$A$49:$C$52</definedName>
    <definedName name="ConfidentialityImpactValues" localSheetId="7">'[2]Defined Values'!$A$17:$A$20</definedName>
    <definedName name="ConfidentialityImpactValues">'Defined Values'!$A$17:$A$20</definedName>
    <definedName name="Harms_List">'[1]KCI Product Harms List'!$B$7:$B$67</definedName>
    <definedName name="Harms_Severity">'[1]KCI Product Harms List'!$E$7:$E$67</definedName>
    <definedName name="Hazards_List">'[1]KCI Product Hazards List'!$A$8:$A$90</definedName>
    <definedName name="Impacts_Safety_and_Efficacy">'Defined Values'!$A$45:$C$47</definedName>
    <definedName name="ImpactsSafetyEfficacyValues" localSheetId="7">'[2]Defined Values'!$A$45:$A$47</definedName>
    <definedName name="ImpactsSafetyEfficacyValues">'Defined Values'!$A$45:$A$47</definedName>
    <definedName name="Integrity_Impact" localSheetId="7">'[2]Defined Values'!$A$22:$C$25</definedName>
    <definedName name="Integrity_Impact">'Defined Values'!$A$22:$C$25</definedName>
    <definedName name="Integrity_Requirement" localSheetId="7">'[2]Defined Values'!$A$54:$C$57</definedName>
    <definedName name="Integrity_Requirement">'Defined Values'!$A$54:$C$57</definedName>
    <definedName name="IntegrityImpactValues" localSheetId="7">'[2]Defined Values'!$A$22:$A$25</definedName>
    <definedName name="IntegrityImpactValues">'Defined Values'!$A$22:$A$25</definedName>
    <definedName name="Rating_Range">[1]Lists!$G$10:$G$14</definedName>
    <definedName name="Risk_Rating_Table">'[1]Risk Table'!$A$9:$F$14</definedName>
    <definedName name="Risk_Rating_Table_Occurrence_Ratings">'[1]Risk Table'!$A$9:$A$14</definedName>
    <definedName name="Risk_Rating_Table_Severity">'[1]Risk Table'!$A$9:$F$9</definedName>
  </definedNames>
  <calcPr calcId="162913"/>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oundtripDataSignature="AMtx7mg8oB/VBJ8BXwvGktugPAtUm0d6wA==" r:id="rId18"/>
    </ext>
  </extLst>
</workbook>
</file>

<file path=xl/calcChain.xml><?xml version="1.0" encoding="utf-8"?>
<calcChain xmlns="http://schemas.openxmlformats.org/spreadsheetml/2006/main">
  <c r="V6" i="8" l="1"/>
  <c r="AV66" i="16" l="1"/>
  <c r="AK66" i="16" s="1"/>
  <c r="E66" i="16"/>
  <c r="D66" i="16"/>
  <c r="C66" i="16"/>
  <c r="B66" i="16"/>
  <c r="A66" i="16"/>
  <c r="AV66" i="8"/>
  <c r="AJ66" i="8" s="1"/>
  <c r="AV65" i="16"/>
  <c r="AL65" i="16" s="1"/>
  <c r="E65" i="16"/>
  <c r="D65" i="16"/>
  <c r="C65" i="16"/>
  <c r="B65" i="16"/>
  <c r="A65" i="16"/>
  <c r="AV65" i="8"/>
  <c r="AL65" i="8" s="1"/>
  <c r="AV64" i="16"/>
  <c r="AH64" i="16" s="1"/>
  <c r="E64" i="16"/>
  <c r="D64" i="16"/>
  <c r="C64" i="16"/>
  <c r="B64" i="16"/>
  <c r="A64" i="16"/>
  <c r="AV64" i="8"/>
  <c r="AH64" i="8" s="1"/>
  <c r="AV63" i="16"/>
  <c r="AD63" i="16" s="1"/>
  <c r="E63" i="16"/>
  <c r="D63" i="16"/>
  <c r="C63" i="16"/>
  <c r="B63" i="16"/>
  <c r="A63" i="16"/>
  <c r="AV63" i="8"/>
  <c r="AJ63" i="8" s="1"/>
  <c r="AV62" i="16"/>
  <c r="AJ62" i="16"/>
  <c r="AG62" i="16"/>
  <c r="AD62" i="16"/>
  <c r="AA62" i="16"/>
  <c r="E62" i="16"/>
  <c r="D62" i="16"/>
  <c r="C62" i="16"/>
  <c r="B62" i="16"/>
  <c r="A62" i="16"/>
  <c r="AV62" i="8"/>
  <c r="AI62" i="8" s="1"/>
  <c r="AV61" i="16"/>
  <c r="AI61" i="16" s="1"/>
  <c r="AF61" i="16"/>
  <c r="AD61" i="16"/>
  <c r="E61" i="16"/>
  <c r="D61" i="16"/>
  <c r="C61" i="16"/>
  <c r="B61" i="16"/>
  <c r="A61" i="16"/>
  <c r="AV61" i="8"/>
  <c r="AI61" i="8" s="1"/>
  <c r="AV60" i="16"/>
  <c r="AJ60" i="16"/>
  <c r="AI60" i="16"/>
  <c r="AF60" i="16"/>
  <c r="AD60" i="16"/>
  <c r="AA60" i="16"/>
  <c r="W60" i="16"/>
  <c r="E60" i="16"/>
  <c r="D60" i="16"/>
  <c r="C60" i="16"/>
  <c r="B60" i="16"/>
  <c r="A60" i="16"/>
  <c r="AV60" i="8"/>
  <c r="AK60" i="8" s="1"/>
  <c r="V60" i="8"/>
  <c r="AV59" i="16"/>
  <c r="E59" i="16"/>
  <c r="D59" i="16"/>
  <c r="C59" i="16"/>
  <c r="B59" i="16"/>
  <c r="A59" i="16"/>
  <c r="AV59" i="8"/>
  <c r="AK59" i="8" s="1"/>
  <c r="AV58" i="16"/>
  <c r="AL58" i="16" s="1"/>
  <c r="E58" i="16"/>
  <c r="D58" i="16"/>
  <c r="C58" i="16"/>
  <c r="B58" i="16"/>
  <c r="A58" i="16"/>
  <c r="AV58" i="8"/>
  <c r="AL58" i="8" s="1"/>
  <c r="AV57" i="16"/>
  <c r="E57" i="16"/>
  <c r="D57" i="16"/>
  <c r="C57" i="16"/>
  <c r="B57" i="16"/>
  <c r="A57" i="16"/>
  <c r="AV57" i="8"/>
  <c r="AI57" i="8" s="1"/>
  <c r="AV56" i="16"/>
  <c r="AK56" i="16" s="1"/>
  <c r="E56" i="16"/>
  <c r="D56" i="16"/>
  <c r="C56" i="16"/>
  <c r="B56" i="16"/>
  <c r="A56" i="16"/>
  <c r="AV56" i="8"/>
  <c r="AL56" i="8" s="1"/>
  <c r="AV55" i="16"/>
  <c r="AL55" i="16" s="1"/>
  <c r="E55" i="16"/>
  <c r="D55" i="16"/>
  <c r="C55" i="16"/>
  <c r="B55" i="16"/>
  <c r="A55" i="16"/>
  <c r="AV55" i="8"/>
  <c r="AK55" i="8" s="1"/>
  <c r="AV54" i="16"/>
  <c r="AL54" i="16" s="1"/>
  <c r="AI54" i="16"/>
  <c r="AD54" i="16"/>
  <c r="W54" i="16"/>
  <c r="E54" i="16"/>
  <c r="D54" i="16"/>
  <c r="C54" i="16"/>
  <c r="B54" i="16"/>
  <c r="A54" i="16"/>
  <c r="AV54" i="8"/>
  <c r="AK54" i="8" s="1"/>
  <c r="AV53" i="16"/>
  <c r="AJ53" i="16" s="1"/>
  <c r="E53" i="16"/>
  <c r="D53" i="16"/>
  <c r="C53" i="16"/>
  <c r="B53" i="16"/>
  <c r="A53" i="16"/>
  <c r="AV53" i="8"/>
  <c r="AJ53" i="8" s="1"/>
  <c r="AV52" i="16"/>
  <c r="AJ52" i="16"/>
  <c r="AH52" i="16"/>
  <c r="AE52" i="16"/>
  <c r="AD52" i="16"/>
  <c r="AA52" i="16"/>
  <c r="E52" i="16"/>
  <c r="D52" i="16"/>
  <c r="C52" i="16"/>
  <c r="B52" i="16"/>
  <c r="A52" i="16"/>
  <c r="AV52" i="8"/>
  <c r="AI52" i="8" s="1"/>
  <c r="AV51" i="16"/>
  <c r="AD51" i="16" s="1"/>
  <c r="E51" i="16"/>
  <c r="D51" i="16"/>
  <c r="C51" i="16"/>
  <c r="B51" i="16"/>
  <c r="A51" i="16"/>
  <c r="AV51" i="8"/>
  <c r="AJ51" i="8" s="1"/>
  <c r="AV50" i="16"/>
  <c r="AI50" i="16" s="1"/>
  <c r="E50" i="16"/>
  <c r="D50" i="16"/>
  <c r="C50" i="16"/>
  <c r="B50" i="16"/>
  <c r="A50" i="16"/>
  <c r="AV50" i="8"/>
  <c r="AJ50" i="8" s="1"/>
  <c r="AV49" i="16"/>
  <c r="AF49" i="16" s="1"/>
  <c r="E49" i="16"/>
  <c r="D49" i="16"/>
  <c r="C49" i="16"/>
  <c r="B49" i="16"/>
  <c r="A49" i="16"/>
  <c r="AV49" i="8"/>
  <c r="AK49" i="8" s="1"/>
  <c r="AV48" i="16"/>
  <c r="AI48" i="16"/>
  <c r="AF48" i="16"/>
  <c r="AA48" i="16"/>
  <c r="W48" i="16"/>
  <c r="E48" i="16"/>
  <c r="D48" i="16"/>
  <c r="C48" i="16"/>
  <c r="B48" i="16"/>
  <c r="A48" i="16"/>
  <c r="AV48" i="8"/>
  <c r="AK48" i="8" s="1"/>
  <c r="AV47" i="16"/>
  <c r="AD47" i="16" s="1"/>
  <c r="AH47" i="16"/>
  <c r="E47" i="16"/>
  <c r="D47" i="16"/>
  <c r="C47" i="16"/>
  <c r="B47" i="16"/>
  <c r="A47" i="16"/>
  <c r="AV47" i="8"/>
  <c r="AG47" i="8" s="1"/>
  <c r="AV46" i="16"/>
  <c r="AG46" i="16" s="1"/>
  <c r="E46" i="16"/>
  <c r="D46" i="16"/>
  <c r="C46" i="16"/>
  <c r="B46" i="16"/>
  <c r="A46" i="16"/>
  <c r="AV46" i="8"/>
  <c r="AK46" i="8" s="1"/>
  <c r="AD46" i="8"/>
  <c r="AV45" i="16"/>
  <c r="AI45" i="16"/>
  <c r="AF45" i="16"/>
  <c r="AA45" i="16"/>
  <c r="W45" i="16"/>
  <c r="E45" i="16"/>
  <c r="D45" i="16"/>
  <c r="C45" i="16"/>
  <c r="B45" i="16"/>
  <c r="A45" i="16"/>
  <c r="AV45" i="8"/>
  <c r="AH45" i="8" s="1"/>
  <c r="AV44" i="16"/>
  <c r="AD44" i="16" s="1"/>
  <c r="E44" i="16"/>
  <c r="D44" i="16"/>
  <c r="C44" i="16"/>
  <c r="B44" i="16"/>
  <c r="A44" i="16"/>
  <c r="AV44" i="8"/>
  <c r="AV43" i="16"/>
  <c r="E43" i="16"/>
  <c r="D43" i="16"/>
  <c r="C43" i="16"/>
  <c r="B43" i="16"/>
  <c r="A43" i="16"/>
  <c r="AV43" i="8"/>
  <c r="AK43" i="8" s="1"/>
  <c r="AV42" i="16"/>
  <c r="E42" i="16"/>
  <c r="D42" i="16"/>
  <c r="C42" i="16"/>
  <c r="B42" i="16"/>
  <c r="A42" i="16"/>
  <c r="AV42" i="8"/>
  <c r="AK42" i="8" s="1"/>
  <c r="AV41" i="16"/>
  <c r="AH41" i="16" s="1"/>
  <c r="E41" i="16"/>
  <c r="D41" i="16"/>
  <c r="C41" i="16"/>
  <c r="B41" i="16"/>
  <c r="A41" i="16"/>
  <c r="AV41" i="8"/>
  <c r="AI41" i="8" s="1"/>
  <c r="AV40" i="16"/>
  <c r="AK40" i="16"/>
  <c r="AJ40" i="16"/>
  <c r="AH40" i="16"/>
  <c r="AG40" i="16"/>
  <c r="AE40" i="16"/>
  <c r="AD40" i="16"/>
  <c r="AB40" i="16"/>
  <c r="AA40" i="16"/>
  <c r="E40" i="16"/>
  <c r="D40" i="16"/>
  <c r="C40" i="16"/>
  <c r="B40" i="16"/>
  <c r="A40" i="16"/>
  <c r="AV40" i="8"/>
  <c r="AH40" i="8" s="1"/>
  <c r="AV39" i="16"/>
  <c r="AI39" i="16" s="1"/>
  <c r="W39" i="16"/>
  <c r="E39" i="16"/>
  <c r="D39" i="16"/>
  <c r="C39" i="16"/>
  <c r="B39" i="16"/>
  <c r="A39" i="16"/>
  <c r="AV39" i="8"/>
  <c r="AG39" i="8" s="1"/>
  <c r="AV38" i="16"/>
  <c r="AD38" i="16" s="1"/>
  <c r="AG38" i="16"/>
  <c r="E38" i="16"/>
  <c r="D38" i="16"/>
  <c r="C38" i="16"/>
  <c r="B38" i="16"/>
  <c r="A38" i="16"/>
  <c r="AV38" i="8"/>
  <c r="AL38" i="8" s="1"/>
  <c r="AV37" i="16"/>
  <c r="AJ37" i="16"/>
  <c r="AI37" i="16"/>
  <c r="AF37" i="16"/>
  <c r="AD37" i="16"/>
  <c r="AA37" i="16"/>
  <c r="W37" i="16"/>
  <c r="E37" i="16"/>
  <c r="D37" i="16"/>
  <c r="C37" i="16"/>
  <c r="B37" i="16"/>
  <c r="A37" i="16"/>
  <c r="AV37" i="8"/>
  <c r="AH37" i="8" s="1"/>
  <c r="AV36" i="16"/>
  <c r="AI36" i="16" s="1"/>
  <c r="AA36" i="16"/>
  <c r="E36" i="16"/>
  <c r="D36" i="16"/>
  <c r="C36" i="16"/>
  <c r="B36" i="16"/>
  <c r="A36" i="16"/>
  <c r="AV36" i="8"/>
  <c r="AI36" i="8" s="1"/>
  <c r="AK36" i="8"/>
  <c r="AJ36" i="8"/>
  <c r="AC36" i="8"/>
  <c r="AB36" i="8"/>
  <c r="AV35" i="16"/>
  <c r="AJ35" i="16" s="1"/>
  <c r="E35" i="16"/>
  <c r="D35" i="16"/>
  <c r="C35" i="16"/>
  <c r="B35" i="16"/>
  <c r="A35" i="16"/>
  <c r="AV35" i="8"/>
  <c r="AL35" i="8" s="1"/>
  <c r="AV34" i="16"/>
  <c r="AD34" i="16"/>
  <c r="AA34" i="16"/>
  <c r="E34" i="16"/>
  <c r="D34" i="16"/>
  <c r="C34" i="16"/>
  <c r="B34" i="16"/>
  <c r="A34" i="16"/>
  <c r="AV34" i="8"/>
  <c r="AK34" i="8" s="1"/>
  <c r="AJ34" i="8"/>
  <c r="AV33" i="16"/>
  <c r="AF33" i="16"/>
  <c r="AA33" i="16"/>
  <c r="E33" i="16"/>
  <c r="D33" i="16"/>
  <c r="C33" i="16"/>
  <c r="B33" i="16"/>
  <c r="A33" i="16"/>
  <c r="AV33" i="8"/>
  <c r="AK33" i="8" s="1"/>
  <c r="AV32" i="16"/>
  <c r="AD32" i="16" s="1"/>
  <c r="E32" i="16"/>
  <c r="D32" i="16"/>
  <c r="C32" i="16"/>
  <c r="B32" i="16"/>
  <c r="A32" i="16"/>
  <c r="AV32" i="8"/>
  <c r="AD32" i="8" s="1"/>
  <c r="AV31" i="16"/>
  <c r="AK31" i="16" s="1"/>
  <c r="AL31" i="16"/>
  <c r="AJ31" i="16"/>
  <c r="AI31" i="16"/>
  <c r="AG31" i="16"/>
  <c r="AF31" i="16"/>
  <c r="AD31" i="16"/>
  <c r="AC31" i="16"/>
  <c r="AA31" i="16"/>
  <c r="W31" i="16"/>
  <c r="E31" i="16"/>
  <c r="D31" i="16"/>
  <c r="C31" i="16"/>
  <c r="B31" i="16"/>
  <c r="A31" i="16"/>
  <c r="AV31" i="8"/>
  <c r="AD31" i="8" s="1"/>
  <c r="AV30" i="16"/>
  <c r="AK30" i="16" s="1"/>
  <c r="E30" i="16"/>
  <c r="D30" i="16"/>
  <c r="C30" i="16"/>
  <c r="B30" i="16"/>
  <c r="A30" i="16"/>
  <c r="AV30" i="8"/>
  <c r="AK30" i="8" s="1"/>
  <c r="AV29" i="16"/>
  <c r="AH29" i="16"/>
  <c r="AE29" i="16"/>
  <c r="AA29" i="16"/>
  <c r="E29" i="16"/>
  <c r="D29" i="16"/>
  <c r="C29" i="16"/>
  <c r="B29" i="16"/>
  <c r="A29" i="16"/>
  <c r="AV29" i="8"/>
  <c r="AL29" i="8" s="1"/>
  <c r="AH29" i="8"/>
  <c r="AE29" i="8"/>
  <c r="AV28" i="16"/>
  <c r="AD28" i="16" s="1"/>
  <c r="AH28" i="16"/>
  <c r="E28" i="16"/>
  <c r="D28" i="16"/>
  <c r="C28" i="16"/>
  <c r="B28" i="16"/>
  <c r="A28" i="16"/>
  <c r="AV28" i="8"/>
  <c r="AA28" i="8" s="1"/>
  <c r="AJ28" i="8"/>
  <c r="AV27" i="16"/>
  <c r="AK27" i="16"/>
  <c r="AJ27" i="16"/>
  <c r="AH27" i="16"/>
  <c r="AG27" i="16"/>
  <c r="AE27" i="16"/>
  <c r="AD27" i="16"/>
  <c r="AB27" i="16"/>
  <c r="AA27" i="16"/>
  <c r="E27" i="16"/>
  <c r="D27" i="16"/>
  <c r="C27" i="16"/>
  <c r="B27" i="16"/>
  <c r="A27" i="16"/>
  <c r="AV27" i="8"/>
  <c r="AL27" i="8" s="1"/>
  <c r="AV26" i="16"/>
  <c r="AD26" i="16"/>
  <c r="E26" i="16"/>
  <c r="D26" i="16"/>
  <c r="C26" i="16"/>
  <c r="B26" i="16"/>
  <c r="A26" i="16"/>
  <c r="AV26" i="8"/>
  <c r="AK26" i="8" s="1"/>
  <c r="AV25" i="16"/>
  <c r="AD25" i="16" s="1"/>
  <c r="E25" i="16"/>
  <c r="D25" i="16"/>
  <c r="C25" i="16"/>
  <c r="B25" i="16"/>
  <c r="A25" i="16"/>
  <c r="AV25" i="8"/>
  <c r="AK25" i="8" s="1"/>
  <c r="AV24" i="16"/>
  <c r="AK24" i="16"/>
  <c r="AH24" i="16"/>
  <c r="AG24" i="16"/>
  <c r="AD24" i="16"/>
  <c r="AB24" i="16"/>
  <c r="E24" i="16"/>
  <c r="D24" i="16"/>
  <c r="C24" i="16"/>
  <c r="B24" i="16"/>
  <c r="A24" i="16"/>
  <c r="AV24" i="8"/>
  <c r="AJ24" i="8" s="1"/>
  <c r="AV23" i="16"/>
  <c r="E23" i="16"/>
  <c r="D23" i="16"/>
  <c r="C23" i="16"/>
  <c r="B23" i="16"/>
  <c r="A23" i="16"/>
  <c r="AV23" i="8"/>
  <c r="AK23" i="8" s="1"/>
  <c r="AV22" i="16"/>
  <c r="E22" i="16"/>
  <c r="D22" i="16"/>
  <c r="C22" i="16"/>
  <c r="B22" i="16"/>
  <c r="A22" i="16"/>
  <c r="AV22" i="8"/>
  <c r="AJ22" i="8" s="1"/>
  <c r="AV21" i="16"/>
  <c r="E21" i="16"/>
  <c r="D21" i="16"/>
  <c r="C21" i="16"/>
  <c r="B21" i="16"/>
  <c r="A21" i="16"/>
  <c r="AV21" i="8"/>
  <c r="AK21" i="8" s="1"/>
  <c r="AV20" i="16"/>
  <c r="AJ20" i="16" s="1"/>
  <c r="E20" i="16"/>
  <c r="D20" i="16"/>
  <c r="C20" i="16"/>
  <c r="B20" i="16"/>
  <c r="A20" i="16"/>
  <c r="AV20" i="8"/>
  <c r="AF20" i="8" s="1"/>
  <c r="AV19" i="16"/>
  <c r="AI19" i="16" s="1"/>
  <c r="E19" i="16"/>
  <c r="D19" i="16"/>
  <c r="C19" i="16"/>
  <c r="B19" i="16"/>
  <c r="A19" i="16"/>
  <c r="AV19" i="8"/>
  <c r="AL19" i="8" s="1"/>
  <c r="AV18" i="16"/>
  <c r="AE18" i="16" s="1"/>
  <c r="E18" i="16"/>
  <c r="D18" i="16"/>
  <c r="C18" i="16"/>
  <c r="B18" i="16"/>
  <c r="A18" i="16"/>
  <c r="AV18" i="8"/>
  <c r="AI18" i="8" s="1"/>
  <c r="AV17" i="16"/>
  <c r="AA17" i="16" s="1"/>
  <c r="AJ17" i="16"/>
  <c r="AH17" i="16"/>
  <c r="AB17" i="16"/>
  <c r="E17" i="16"/>
  <c r="D17" i="16"/>
  <c r="C17" i="16"/>
  <c r="B17" i="16"/>
  <c r="A17" i="16"/>
  <c r="AV17" i="8"/>
  <c r="AA17" i="8" s="1"/>
  <c r="AF17" i="8"/>
  <c r="AV16" i="16"/>
  <c r="AG16" i="16" s="1"/>
  <c r="E16" i="16"/>
  <c r="D16" i="16"/>
  <c r="C16" i="16"/>
  <c r="B16" i="16"/>
  <c r="A16" i="16"/>
  <c r="AV16" i="8"/>
  <c r="AI16" i="8" s="1"/>
  <c r="AL16" i="8"/>
  <c r="AC16" i="8"/>
  <c r="AV15" i="16"/>
  <c r="AI15" i="16" s="1"/>
  <c r="E15" i="16"/>
  <c r="D15" i="16"/>
  <c r="C15" i="16"/>
  <c r="B15" i="16"/>
  <c r="A15" i="16"/>
  <c r="AV15" i="8"/>
  <c r="AV14" i="16"/>
  <c r="E14" i="16"/>
  <c r="D14" i="16"/>
  <c r="C14" i="16"/>
  <c r="B14" i="16"/>
  <c r="A14" i="16"/>
  <c r="AV14" i="8"/>
  <c r="AL14" i="8" s="1"/>
  <c r="AV13" i="16"/>
  <c r="AK13" i="16" s="1"/>
  <c r="E13" i="16"/>
  <c r="D13" i="16"/>
  <c r="C13" i="16"/>
  <c r="B13" i="16"/>
  <c r="A13" i="16"/>
  <c r="AV13" i="8"/>
  <c r="AD13" i="8" s="1"/>
  <c r="AV12" i="16"/>
  <c r="AL12" i="16" s="1"/>
  <c r="AJ12" i="16"/>
  <c r="AG12" i="16"/>
  <c r="AD12" i="16"/>
  <c r="AA12" i="16"/>
  <c r="E12" i="16"/>
  <c r="D12" i="16"/>
  <c r="C12" i="16"/>
  <c r="B12" i="16"/>
  <c r="A12" i="16"/>
  <c r="AV12" i="8"/>
  <c r="AB12" i="8" s="1"/>
  <c r="AV11" i="16"/>
  <c r="AI11" i="16" s="1"/>
  <c r="E11" i="16"/>
  <c r="D11" i="16"/>
  <c r="C11" i="16"/>
  <c r="B11" i="16"/>
  <c r="A11" i="16"/>
  <c r="AV11" i="8"/>
  <c r="AI11" i="8" s="1"/>
  <c r="AV10" i="16"/>
  <c r="AK10" i="16" s="1"/>
  <c r="W10" i="16"/>
  <c r="E10" i="16"/>
  <c r="D10" i="16"/>
  <c r="C10" i="16"/>
  <c r="B10" i="16"/>
  <c r="A10" i="16"/>
  <c r="AV10" i="8"/>
  <c r="AD10" i="8" s="1"/>
  <c r="AV9" i="16"/>
  <c r="AG9" i="16" s="1"/>
  <c r="E9" i="16"/>
  <c r="D9" i="16"/>
  <c r="C9" i="16"/>
  <c r="B9" i="16"/>
  <c r="A9" i="16"/>
  <c r="AV9" i="8"/>
  <c r="AC9" i="8" s="1"/>
  <c r="AV8" i="16"/>
  <c r="E8" i="16"/>
  <c r="D8" i="16"/>
  <c r="C8" i="16"/>
  <c r="B8" i="16"/>
  <c r="A8" i="16"/>
  <c r="AV8" i="8"/>
  <c r="AV7" i="16"/>
  <c r="AD7" i="16" s="1"/>
  <c r="E7" i="16"/>
  <c r="D7" i="16"/>
  <c r="C7" i="16"/>
  <c r="B7" i="16"/>
  <c r="A7" i="16"/>
  <c r="AV7" i="8"/>
  <c r="AL7" i="8" s="1"/>
  <c r="AV6" i="16"/>
  <c r="AL6" i="16" s="1"/>
  <c r="E6" i="16"/>
  <c r="D6" i="16"/>
  <c r="C6" i="16"/>
  <c r="B6" i="16"/>
  <c r="A6" i="16"/>
  <c r="AV6" i="8"/>
  <c r="AL6" i="8" s="1"/>
  <c r="H3" i="39"/>
  <c r="B1" i="18"/>
  <c r="A1" i="39"/>
  <c r="AV6" i="20"/>
  <c r="AV6" i="19"/>
  <c r="AI6" i="19"/>
  <c r="AL6" i="20"/>
  <c r="W6" i="20"/>
  <c r="AE6" i="20"/>
  <c r="AA6" i="20"/>
  <c r="AI6" i="20"/>
  <c r="AB6" i="20"/>
  <c r="AN6" i="20" s="1"/>
  <c r="AJ6" i="20"/>
  <c r="AF6" i="20"/>
  <c r="AC6" i="20"/>
  <c r="AG6" i="20"/>
  <c r="AK6" i="20"/>
  <c r="AD6" i="20"/>
  <c r="AM6" i="20" s="1"/>
  <c r="AH6" i="20"/>
  <c r="AC6" i="19"/>
  <c r="AG6" i="19"/>
  <c r="AK6" i="19"/>
  <c r="AF6" i="19"/>
  <c r="AJ6" i="19"/>
  <c r="V6" i="19"/>
  <c r="AD6" i="19"/>
  <c r="AH6" i="19"/>
  <c r="AL6" i="19"/>
  <c r="AB6" i="19"/>
  <c r="AA6" i="19"/>
  <c r="AE6" i="19"/>
  <c r="AN6" i="19"/>
  <c r="AO6" i="20"/>
  <c r="AM6" i="19"/>
  <c r="AO6" i="19"/>
  <c r="A6" i="20"/>
  <c r="B6" i="20"/>
  <c r="C6" i="20"/>
  <c r="D6" i="20"/>
  <c r="E6" i="20"/>
  <c r="AB55" i="16" l="1"/>
  <c r="AD55" i="16"/>
  <c r="AE55" i="16"/>
  <c r="AJ55" i="16"/>
  <c r="AK55" i="16"/>
  <c r="AA55" i="16"/>
  <c r="AH55" i="16"/>
  <c r="AC66" i="16"/>
  <c r="AI66" i="16"/>
  <c r="AJ61" i="16"/>
  <c r="AD58" i="16"/>
  <c r="AF36" i="16"/>
  <c r="AD17" i="16"/>
  <c r="AE17" i="16"/>
  <c r="AK8" i="16"/>
  <c r="AA8" i="16"/>
  <c r="AI8" i="16"/>
  <c r="AB8" i="16"/>
  <c r="AC8" i="16"/>
  <c r="AD8" i="16"/>
  <c r="AE8" i="16"/>
  <c r="AF8" i="16"/>
  <c r="AH8" i="16"/>
  <c r="AJ8" i="16"/>
  <c r="AJ65" i="16"/>
  <c r="AE46" i="8"/>
  <c r="AH46" i="8"/>
  <c r="V10" i="8"/>
  <c r="AD33" i="8"/>
  <c r="AJ46" i="8"/>
  <c r="AI10" i="8"/>
  <c r="AL10" i="8"/>
  <c r="AK12" i="8"/>
  <c r="AE33" i="8"/>
  <c r="AD48" i="8"/>
  <c r="AL36" i="8"/>
  <c r="AE34" i="8"/>
  <c r="AA39" i="8"/>
  <c r="AD42" i="8"/>
  <c r="AM42" i="8" s="1"/>
  <c r="AO42" i="8" s="1"/>
  <c r="V43" i="8"/>
  <c r="AC51" i="8"/>
  <c r="AH34" i="8"/>
  <c r="AE39" i="8"/>
  <c r="AL51" i="8"/>
  <c r="AF62" i="8"/>
  <c r="AL9" i="8"/>
  <c r="AJ52" i="8"/>
  <c r="AA12" i="8"/>
  <c r="AD36" i="8"/>
  <c r="AP36" i="8" s="1"/>
  <c r="AE42" i="8"/>
  <c r="AE61" i="8"/>
  <c r="AD12" i="8"/>
  <c r="AL25" i="8"/>
  <c r="V26" i="8"/>
  <c r="AA34" i="8"/>
  <c r="AE36" i="8"/>
  <c r="AK37" i="8"/>
  <c r="AL42" i="8"/>
  <c r="AE48" i="8"/>
  <c r="AK61" i="8"/>
  <c r="AJ12" i="8"/>
  <c r="AD26" i="8"/>
  <c r="AD28" i="8"/>
  <c r="AD34" i="8"/>
  <c r="AF36" i="8"/>
  <c r="AA43" i="8"/>
  <c r="AA60" i="8"/>
  <c r="AA16" i="8"/>
  <c r="AJ16" i="8"/>
  <c r="AE25" i="8"/>
  <c r="AB29" i="8"/>
  <c r="AI31" i="8"/>
  <c r="AE37" i="8"/>
  <c r="AA38" i="8"/>
  <c r="AL43" i="8"/>
  <c r="AB45" i="8"/>
  <c r="AK45" i="8"/>
  <c r="AE54" i="8"/>
  <c r="AC10" i="8"/>
  <c r="AB16" i="8"/>
  <c r="AK16" i="8"/>
  <c r="AH25" i="8"/>
  <c r="AD29" i="8"/>
  <c r="AJ32" i="8"/>
  <c r="V33" i="8"/>
  <c r="AJ37" i="8"/>
  <c r="V39" i="8"/>
  <c r="AC45" i="8"/>
  <c r="AL45" i="8"/>
  <c r="V48" i="8"/>
  <c r="V52" i="8"/>
  <c r="AL54" i="8"/>
  <c r="AB61" i="8"/>
  <c r="AL60" i="8"/>
  <c r="AF61" i="8"/>
  <c r="AD45" i="8"/>
  <c r="AE16" i="8"/>
  <c r="AH26" i="8"/>
  <c r="AJ29" i="8"/>
  <c r="AH33" i="8"/>
  <c r="AH39" i="8"/>
  <c r="AF45" i="8"/>
  <c r="AL48" i="8"/>
  <c r="AJ61" i="8"/>
  <c r="AD66" i="8"/>
  <c r="AE12" i="8"/>
  <c r="AF16" i="8"/>
  <c r="AA27" i="8"/>
  <c r="AK29" i="8"/>
  <c r="AL33" i="8"/>
  <c r="AI39" i="8"/>
  <c r="AG45" i="8"/>
  <c r="AE45" i="8"/>
  <c r="AM45" i="8" s="1"/>
  <c r="AO45" i="8" s="1"/>
  <c r="AH16" i="8"/>
  <c r="V25" i="8"/>
  <c r="AI45" i="8"/>
  <c r="V54" i="8"/>
  <c r="AD16" i="8"/>
  <c r="AD25" i="8"/>
  <c r="AM25" i="8" s="1"/>
  <c r="AO25" i="8" s="1"/>
  <c r="AA29" i="8"/>
  <c r="V31" i="8"/>
  <c r="AA37" i="8"/>
  <c r="AA45" i="8"/>
  <c r="AJ45" i="8"/>
  <c r="AD54" i="8"/>
  <c r="AA66" i="8"/>
  <c r="V43" i="16"/>
  <c r="AA26" i="8"/>
  <c r="AI26" i="8"/>
  <c r="AH27" i="8"/>
  <c r="AC38" i="8"/>
  <c r="AB17" i="8"/>
  <c r="AF25" i="8"/>
  <c r="AB26" i="8"/>
  <c r="AJ26" i="8"/>
  <c r="AJ27" i="8"/>
  <c r="AA32" i="8"/>
  <c r="AF33" i="8"/>
  <c r="AM33" i="8" s="1"/>
  <c r="AO33" i="8" s="1"/>
  <c r="AD38" i="8"/>
  <c r="AB39" i="8"/>
  <c r="AJ39" i="8"/>
  <c r="AF42" i="8"/>
  <c r="AC43" i="8"/>
  <c r="AF48" i="8"/>
  <c r="AM48" i="8" s="1"/>
  <c r="AO48" i="8" s="1"/>
  <c r="AF54" i="8"/>
  <c r="AM54" i="8" s="1"/>
  <c r="AO54" i="8" s="1"/>
  <c r="AC60" i="8"/>
  <c r="AH12" i="8"/>
  <c r="AD17" i="8"/>
  <c r="AC26" i="8"/>
  <c r="AL26" i="8"/>
  <c r="AK27" i="8"/>
  <c r="AB37" i="8"/>
  <c r="AF38" i="8"/>
  <c r="AC39" i="8"/>
  <c r="AK39" i="8"/>
  <c r="AG42" i="8"/>
  <c r="AD43" i="8"/>
  <c r="AG48" i="8"/>
  <c r="AG54" i="8"/>
  <c r="AD60" i="8"/>
  <c r="AD37" i="8"/>
  <c r="AG38" i="8"/>
  <c r="AD39" i="8"/>
  <c r="AL39" i="8"/>
  <c r="V41" i="8"/>
  <c r="V42" i="8"/>
  <c r="V42" i="16" s="1"/>
  <c r="AH42" i="8"/>
  <c r="AF43" i="8"/>
  <c r="AH48" i="8"/>
  <c r="AH54" i="8"/>
  <c r="AF60" i="8"/>
  <c r="AG37" i="8"/>
  <c r="AJ38" i="8"/>
  <c r="AF39" i="8"/>
  <c r="AB42" i="8"/>
  <c r="AJ42" i="8"/>
  <c r="AI43" i="8"/>
  <c r="AB48" i="8"/>
  <c r="AJ48" i="8"/>
  <c r="AD52" i="8"/>
  <c r="AB54" i="8"/>
  <c r="AJ54" i="8"/>
  <c r="AI60" i="8"/>
  <c r="AF23" i="8"/>
  <c r="AA25" i="8"/>
  <c r="AI25" i="8"/>
  <c r="AE26" i="8"/>
  <c r="AB27" i="8"/>
  <c r="AA33" i="8"/>
  <c r="AI33" i="8"/>
  <c r="AI38" i="8"/>
  <c r="AA42" i="8"/>
  <c r="AI42" i="8"/>
  <c r="AG43" i="8"/>
  <c r="AA48" i="8"/>
  <c r="AI48" i="8"/>
  <c r="AA54" i="8"/>
  <c r="AI54" i="8"/>
  <c r="AG60" i="8"/>
  <c r="V16" i="8"/>
  <c r="AI23" i="8"/>
  <c r="AB25" i="8"/>
  <c r="AJ25" i="8"/>
  <c r="AF26" i="8"/>
  <c r="AD27" i="8"/>
  <c r="AB33" i="8"/>
  <c r="AJ33" i="8"/>
  <c r="AL15" i="8"/>
  <c r="AA15" i="8"/>
  <c r="AJ15" i="8"/>
  <c r="AD15" i="8"/>
  <c r="AF15" i="8"/>
  <c r="AI15" i="8"/>
  <c r="AB15" i="8"/>
  <c r="AC15" i="8"/>
  <c r="AE15" i="8"/>
  <c r="AH15" i="8"/>
  <c r="AJ23" i="8"/>
  <c r="AD24" i="8"/>
  <c r="AC25" i="8"/>
  <c r="AE27" i="8"/>
  <c r="AC33" i="8"/>
  <c r="V38" i="8"/>
  <c r="AC42" i="8"/>
  <c r="AJ43" i="8"/>
  <c r="V45" i="8"/>
  <c r="AA46" i="8"/>
  <c r="AC48" i="8"/>
  <c r="AF52" i="8"/>
  <c r="AC54" i="8"/>
  <c r="AJ60" i="8"/>
  <c r="AC61" i="8"/>
  <c r="V62" i="8"/>
  <c r="V62" i="16" s="1"/>
  <c r="AD61" i="8"/>
  <c r="AL61" i="8"/>
  <c r="AH61" i="8"/>
  <c r="AA61" i="8"/>
  <c r="AE58" i="8"/>
  <c r="AF58" i="8"/>
  <c r="AH58" i="8"/>
  <c r="AC58" i="8"/>
  <c r="AK58" i="8"/>
  <c r="AA58" i="8"/>
  <c r="AI58" i="8"/>
  <c r="AB58" i="8"/>
  <c r="AJ58" i="8"/>
  <c r="AD58" i="8"/>
  <c r="AM58" i="8" s="1"/>
  <c r="AO58" i="8" s="1"/>
  <c r="AD55" i="8"/>
  <c r="AH55" i="8"/>
  <c r="AF51" i="8"/>
  <c r="AH36" i="8"/>
  <c r="AA36" i="8"/>
  <c r="AN36" i="8" s="1"/>
  <c r="AA23" i="8"/>
  <c r="AD23" i="8"/>
  <c r="AI17" i="8"/>
  <c r="AJ17" i="8"/>
  <c r="AD8" i="8"/>
  <c r="AC8" i="8"/>
  <c r="AI8" i="8"/>
  <c r="AL8" i="8"/>
  <c r="AA65" i="16"/>
  <c r="AD65" i="16"/>
  <c r="AD56" i="16"/>
  <c r="AI30" i="16"/>
  <c r="AF30" i="16"/>
  <c r="AB53" i="16"/>
  <c r="AH53" i="16"/>
  <c r="AL50" i="16"/>
  <c r="AC50" i="16"/>
  <c r="AD50" i="16"/>
  <c r="AA49" i="16"/>
  <c r="AI49" i="16"/>
  <c r="AJ49" i="16"/>
  <c r="AL49" i="16"/>
  <c r="AC49" i="16"/>
  <c r="AD49" i="16"/>
  <c r="AH44" i="16"/>
  <c r="AA20" i="16"/>
  <c r="AD19" i="16"/>
  <c r="AJ19" i="16"/>
  <c r="AH18" i="16"/>
  <c r="AA18" i="16"/>
  <c r="AA13" i="16"/>
  <c r="AD13" i="16"/>
  <c r="AH20" i="8"/>
  <c r="AE20" i="8"/>
  <c r="AJ20" i="8"/>
  <c r="AB20" i="8"/>
  <c r="AA20" i="8"/>
  <c r="AI20" i="8"/>
  <c r="AC20" i="8"/>
  <c r="AK20" i="8"/>
  <c r="AD20" i="8"/>
  <c r="AL20" i="8"/>
  <c r="AC50" i="8"/>
  <c r="AF50" i="8"/>
  <c r="AI50" i="8"/>
  <c r="AL50" i="8"/>
  <c r="AA35" i="8"/>
  <c r="AF35" i="8"/>
  <c r="AJ35" i="8"/>
  <c r="AD35" i="8"/>
  <c r="AI35" i="8"/>
  <c r="AJ30" i="8"/>
  <c r="AC30" i="8"/>
  <c r="AE30" i="8"/>
  <c r="AB30" i="8"/>
  <c r="AF30" i="8"/>
  <c r="AI30" i="8"/>
  <c r="AD57" i="8"/>
  <c r="AL57" i="8"/>
  <c r="AI56" i="8"/>
  <c r="AD56" i="8"/>
  <c r="AA59" i="8"/>
  <c r="AD59" i="8"/>
  <c r="AI59" i="8"/>
  <c r="AH59" i="8"/>
  <c r="AB59" i="8"/>
  <c r="AJ59" i="8"/>
  <c r="AC59" i="8"/>
  <c r="AL59" i="8"/>
  <c r="AE59" i="8"/>
  <c r="AF59" i="8"/>
  <c r="AA63" i="8"/>
  <c r="AD63" i="8"/>
  <c r="AF65" i="8"/>
  <c r="AE65" i="8"/>
  <c r="AH65" i="8"/>
  <c r="AA65" i="8"/>
  <c r="AI65" i="8"/>
  <c r="AB65" i="8"/>
  <c r="AJ65" i="8"/>
  <c r="AC65" i="8"/>
  <c r="AK65" i="8"/>
  <c r="AD65" i="8"/>
  <c r="AA49" i="8"/>
  <c r="AD49" i="8"/>
  <c r="AE49" i="8"/>
  <c r="AH49" i="8"/>
  <c r="AJ49" i="8"/>
  <c r="AI53" i="8"/>
  <c r="AL53" i="8"/>
  <c r="AC53" i="8"/>
  <c r="AD53" i="8"/>
  <c r="AD21" i="8"/>
  <c r="AH21" i="8"/>
  <c r="AH22" i="8"/>
  <c r="AK22" i="8"/>
  <c r="AB22" i="8"/>
  <c r="AD22" i="8"/>
  <c r="AA19" i="8"/>
  <c r="AD19" i="8"/>
  <c r="AJ19" i="8"/>
  <c r="AD18" i="8"/>
  <c r="AL18" i="8"/>
  <c r="AJ18" i="8"/>
  <c r="AA18" i="8"/>
  <c r="AC18" i="8"/>
  <c r="AF18" i="8"/>
  <c r="AK15" i="8"/>
  <c r="AF13" i="8"/>
  <c r="AI13" i="8"/>
  <c r="AJ13" i="8"/>
  <c r="AA13" i="8"/>
  <c r="AD11" i="8"/>
  <c r="AJ11" i="8"/>
  <c r="AD7" i="8"/>
  <c r="AH6" i="8"/>
  <c r="AA6" i="8"/>
  <c r="AI6" i="8"/>
  <c r="AF6" i="8"/>
  <c r="AB6" i="8"/>
  <c r="AJ6" i="8"/>
  <c r="AC6" i="8"/>
  <c r="AK6" i="8"/>
  <c r="AE6" i="8"/>
  <c r="AD6" i="8"/>
  <c r="AD10" i="16"/>
  <c r="AI10" i="16"/>
  <c r="AF15" i="16"/>
  <c r="AI21" i="16"/>
  <c r="AL21" i="16"/>
  <c r="AK22" i="16"/>
  <c r="AH22" i="16"/>
  <c r="AE22" i="16"/>
  <c r="AB22" i="16"/>
  <c r="AN22" i="16" s="1"/>
  <c r="AD35" i="16"/>
  <c r="AL42" i="16"/>
  <c r="AI42" i="16"/>
  <c r="AA42" i="16"/>
  <c r="AL8" i="16"/>
  <c r="AC10" i="16"/>
  <c r="AG10" i="16"/>
  <c r="AL10" i="16"/>
  <c r="AD11" i="16"/>
  <c r="AL11" i="16"/>
  <c r="AC13" i="16"/>
  <c r="AF13" i="16"/>
  <c r="AI13" i="16"/>
  <c r="AL13" i="16"/>
  <c r="AD15" i="16"/>
  <c r="AJ15" i="16"/>
  <c r="W16" i="16"/>
  <c r="AL16" i="16"/>
  <c r="AL17" i="16"/>
  <c r="AI17" i="16"/>
  <c r="AF17" i="16"/>
  <c r="AK18" i="16"/>
  <c r="AB18" i="16"/>
  <c r="AC22" i="16"/>
  <c r="AG22" i="16"/>
  <c r="AL22" i="16"/>
  <c r="AL33" i="16"/>
  <c r="AJ33" i="16"/>
  <c r="AD33" i="16"/>
  <c r="AL34" i="16"/>
  <c r="AG34" i="16"/>
  <c r="AL36" i="16"/>
  <c r="AC36" i="16"/>
  <c r="AK37" i="16"/>
  <c r="AH37" i="16"/>
  <c r="AE37" i="16"/>
  <c r="AP37" i="16" s="1"/>
  <c r="AB37" i="16"/>
  <c r="W42" i="16"/>
  <c r="AJ42" i="16"/>
  <c r="AL52" i="16"/>
  <c r="AI52" i="16"/>
  <c r="AF52" i="16"/>
  <c r="AP52" i="16" s="1"/>
  <c r="AC52" i="16"/>
  <c r="W52" i="16"/>
  <c r="AJ13" i="16"/>
  <c r="AC16" i="16"/>
  <c r="W22" i="16"/>
  <c r="AD22" i="16"/>
  <c r="AP22" i="16" s="1"/>
  <c r="AI22" i="16"/>
  <c r="AL23" i="16"/>
  <c r="AJ23" i="16"/>
  <c r="AA23" i="16"/>
  <c r="AK35" i="16"/>
  <c r="AH35" i="16"/>
  <c r="AA35" i="16"/>
  <c r="AN40" i="16"/>
  <c r="AD42" i="16"/>
  <c r="AM42" i="16" s="1"/>
  <c r="AO42" i="16" s="1"/>
  <c r="AJ57" i="16"/>
  <c r="AK57" i="16"/>
  <c r="AD57" i="16"/>
  <c r="AH57" i="16"/>
  <c r="AB57" i="16"/>
  <c r="AA10" i="16"/>
  <c r="AF10" i="16"/>
  <c r="AJ10" i="16"/>
  <c r="AC11" i="16"/>
  <c r="AB13" i="16"/>
  <c r="AE13" i="16"/>
  <c r="AH13" i="16"/>
  <c r="AA15" i="16"/>
  <c r="AC17" i="16"/>
  <c r="AN17" i="16" s="1"/>
  <c r="AK17" i="16"/>
  <c r="AD18" i="16"/>
  <c r="AJ18" i="16"/>
  <c r="AD21" i="16"/>
  <c r="AA22" i="16"/>
  <c r="AF22" i="16"/>
  <c r="AJ22" i="16"/>
  <c r="AD23" i="16"/>
  <c r="AL24" i="16"/>
  <c r="AJ24" i="16"/>
  <c r="AE24" i="16"/>
  <c r="AA24" i="16"/>
  <c r="AL27" i="16"/>
  <c r="AI27" i="16"/>
  <c r="AF27" i="16"/>
  <c r="AP27" i="16" s="1"/>
  <c r="AC27" i="16"/>
  <c r="W27" i="16"/>
  <c r="AL29" i="16"/>
  <c r="AJ29" i="16"/>
  <c r="AD29" i="16"/>
  <c r="AH32" i="16"/>
  <c r="W33" i="16"/>
  <c r="AI33" i="16"/>
  <c r="AJ34" i="16"/>
  <c r="AE35" i="16"/>
  <c r="AD36" i="16"/>
  <c r="AJ36" i="16"/>
  <c r="AC37" i="16"/>
  <c r="AG37" i="16"/>
  <c r="AL37" i="16"/>
  <c r="AL40" i="16"/>
  <c r="AI40" i="16"/>
  <c r="AF40" i="16"/>
  <c r="AM40" i="16" s="1"/>
  <c r="AO40" i="16" s="1"/>
  <c r="AR40" i="16" s="1"/>
  <c r="AQ40" i="16" s="1"/>
  <c r="AS40" i="16" s="1"/>
  <c r="AU40" i="16" s="1"/>
  <c r="AT40" i="16" s="1"/>
  <c r="AC40" i="16"/>
  <c r="W40" i="16"/>
  <c r="AF42" i="16"/>
  <c r="AI43" i="16"/>
  <c r="W43" i="16"/>
  <c r="AL45" i="16"/>
  <c r="AJ45" i="16"/>
  <c r="AD45" i="16"/>
  <c r="AL48" i="16"/>
  <c r="AJ48" i="16"/>
  <c r="AD48" i="16"/>
  <c r="AK49" i="16"/>
  <c r="AH49" i="16"/>
  <c r="AE49" i="16"/>
  <c r="AB49" i="16"/>
  <c r="AK50" i="16"/>
  <c r="AJ50" i="16"/>
  <c r="AF50" i="16"/>
  <c r="AA50" i="16"/>
  <c r="AK51" i="16"/>
  <c r="AJ51" i="16"/>
  <c r="AA51" i="16"/>
  <c r="AB52" i="16"/>
  <c r="AN52" i="16" s="1"/>
  <c r="AG52" i="16"/>
  <c r="AK52" i="16"/>
  <c r="AJ59" i="16"/>
  <c r="AL59" i="16"/>
  <c r="AD59" i="16"/>
  <c r="AI59" i="16"/>
  <c r="AC59" i="16"/>
  <c r="AL62" i="16"/>
  <c r="AI62" i="16"/>
  <c r="AF62" i="16"/>
  <c r="AM62" i="16" s="1"/>
  <c r="AO62" i="16" s="1"/>
  <c r="AC62" i="16"/>
  <c r="W62" i="16"/>
  <c r="AK62" i="16"/>
  <c r="AP62" i="16" s="1"/>
  <c r="AH62" i="16"/>
  <c r="AE62" i="16"/>
  <c r="AB62" i="16"/>
  <c r="AN62" i="16" s="1"/>
  <c r="AD53" i="16"/>
  <c r="AK53" i="16"/>
  <c r="AC55" i="16"/>
  <c r="AN55" i="16" s="1"/>
  <c r="AF55" i="16"/>
  <c r="AI55" i="16"/>
  <c r="AH56" i="16"/>
  <c r="AI58" i="16"/>
  <c r="AD66" i="16"/>
  <c r="AL66" i="16"/>
  <c r="AA14" i="8"/>
  <c r="AL14" i="16"/>
  <c r="AI14" i="16"/>
  <c r="AF14" i="16"/>
  <c r="AC14" i="16"/>
  <c r="AK7" i="8"/>
  <c r="AJ7" i="8"/>
  <c r="AF7" i="8"/>
  <c r="AA7" i="8"/>
  <c r="AK9" i="8"/>
  <c r="AH9" i="8"/>
  <c r="AE9" i="8"/>
  <c r="AB9" i="8"/>
  <c r="AL9" i="16"/>
  <c r="AJ9" i="16"/>
  <c r="AA9" i="16"/>
  <c r="AF11" i="8"/>
  <c r="AI14" i="8"/>
  <c r="AA14" i="16"/>
  <c r="AE14" i="16"/>
  <c r="AJ14" i="16"/>
  <c r="AK16" i="16"/>
  <c r="AH16" i="16"/>
  <c r="AE16" i="16"/>
  <c r="AB16" i="16"/>
  <c r="AF19" i="16"/>
  <c r="AC7" i="8"/>
  <c r="AI7" i="8"/>
  <c r="AK8" i="8"/>
  <c r="AJ8" i="8"/>
  <c r="AF8" i="8"/>
  <c r="AA8" i="8"/>
  <c r="AA9" i="8"/>
  <c r="AF9" i="8"/>
  <c r="AJ9" i="8"/>
  <c r="AD9" i="16"/>
  <c r="AK10" i="8"/>
  <c r="AJ10" i="8"/>
  <c r="AF10" i="8"/>
  <c r="AA10" i="8"/>
  <c r="AA11" i="8"/>
  <c r="AK11" i="16"/>
  <c r="AJ11" i="16"/>
  <c r="AF11" i="16"/>
  <c r="AA11" i="16"/>
  <c r="AL12" i="8"/>
  <c r="AI12" i="8"/>
  <c r="AF12" i="8"/>
  <c r="AC12" i="8"/>
  <c r="AN12" i="8" s="1"/>
  <c r="V12" i="8"/>
  <c r="AK13" i="8"/>
  <c r="AL13" i="8"/>
  <c r="AC13" i="8"/>
  <c r="AD14" i="8"/>
  <c r="AB14" i="16"/>
  <c r="AK14" i="16"/>
  <c r="AK15" i="16"/>
  <c r="AL15" i="16"/>
  <c r="AC15" i="16"/>
  <c r="AN16" i="8"/>
  <c r="AA16" i="16"/>
  <c r="AF16" i="16"/>
  <c r="AJ16" i="16"/>
  <c r="AK17" i="8"/>
  <c r="AL17" i="8"/>
  <c r="AC17" i="8"/>
  <c r="AK18" i="8"/>
  <c r="AH18" i="8"/>
  <c r="AE18" i="8"/>
  <c r="AB18" i="8"/>
  <c r="AL18" i="16"/>
  <c r="AI18" i="16"/>
  <c r="AF18" i="16"/>
  <c r="AC18" i="16"/>
  <c r="AA19" i="16"/>
  <c r="AB21" i="8"/>
  <c r="AC21" i="16"/>
  <c r="AA22" i="8"/>
  <c r="AE22" i="8"/>
  <c r="AA24" i="8"/>
  <c r="AL26" i="16"/>
  <c r="AJ26" i="16"/>
  <c r="AA26" i="16"/>
  <c r="AG26" i="16"/>
  <c r="AL28" i="8"/>
  <c r="AI28" i="8"/>
  <c r="AF28" i="8"/>
  <c r="AC28" i="8"/>
  <c r="V28" i="8"/>
  <c r="AK28" i="8"/>
  <c r="AH28" i="8"/>
  <c r="AE28" i="8"/>
  <c r="AB28" i="8"/>
  <c r="AL28" i="16"/>
  <c r="AK28" i="16"/>
  <c r="AG28" i="16"/>
  <c r="AB28" i="16"/>
  <c r="AJ28" i="16"/>
  <c r="AE28" i="16"/>
  <c r="AA28" i="16"/>
  <c r="AL44" i="8"/>
  <c r="AJ44" i="8"/>
  <c r="AE44" i="8"/>
  <c r="AA44" i="8"/>
  <c r="AK44" i="8"/>
  <c r="AD44" i="8"/>
  <c r="AH44" i="8"/>
  <c r="AB44" i="8"/>
  <c r="AL44" i="16"/>
  <c r="AI44" i="16"/>
  <c r="AF44" i="16"/>
  <c r="AC44" i="16"/>
  <c r="AK44" i="16"/>
  <c r="AB44" i="16"/>
  <c r="AJ44" i="16"/>
  <c r="AE44" i="16"/>
  <c r="AA44" i="16"/>
  <c r="AL47" i="8"/>
  <c r="AJ47" i="8"/>
  <c r="AE47" i="8"/>
  <c r="AA47" i="8"/>
  <c r="AK47" i="8"/>
  <c r="AD47" i="8"/>
  <c r="AH47" i="8"/>
  <c r="AB47" i="8"/>
  <c r="AL47" i="16"/>
  <c r="AI47" i="16"/>
  <c r="AF47" i="16"/>
  <c r="AM47" i="16" s="1"/>
  <c r="AO47" i="16" s="1"/>
  <c r="AC47" i="16"/>
  <c r="W47" i="16"/>
  <c r="AK47" i="16"/>
  <c r="AG47" i="16"/>
  <c r="AB47" i="16"/>
  <c r="AJ47" i="16"/>
  <c r="AP47" i="16" s="1"/>
  <c r="AE47" i="16"/>
  <c r="AA47" i="16"/>
  <c r="AK14" i="8"/>
  <c r="AJ14" i="8"/>
  <c r="AF14" i="8"/>
  <c r="AB14" i="8"/>
  <c r="AL20" i="16"/>
  <c r="AL21" i="8"/>
  <c r="AI21" i="8"/>
  <c r="AF21" i="8"/>
  <c r="AC21" i="8"/>
  <c r="AL24" i="8"/>
  <c r="AI24" i="8"/>
  <c r="AF24" i="8"/>
  <c r="AC24" i="8"/>
  <c r="V24" i="8"/>
  <c r="AK24" i="8"/>
  <c r="AH24" i="8"/>
  <c r="AE24" i="8"/>
  <c r="AB24" i="8"/>
  <c r="AL25" i="16"/>
  <c r="AJ25" i="16"/>
  <c r="AA25" i="16"/>
  <c r="AG25" i="16"/>
  <c r="AK39" i="16"/>
  <c r="AH39" i="16"/>
  <c r="AE39" i="16"/>
  <c r="AB39" i="16"/>
  <c r="AL39" i="16"/>
  <c r="AG39" i="16"/>
  <c r="AC39" i="16"/>
  <c r="AJ39" i="16"/>
  <c r="AF39" i="16"/>
  <c r="AA39" i="16"/>
  <c r="AL40" i="8"/>
  <c r="AI40" i="8"/>
  <c r="AF40" i="8"/>
  <c r="AC40" i="8"/>
  <c r="V40" i="8"/>
  <c r="V54" i="16" s="1"/>
  <c r="AK40" i="8"/>
  <c r="AG40" i="8"/>
  <c r="AB40" i="8"/>
  <c r="AJ40" i="8"/>
  <c r="AE40" i="8"/>
  <c r="AA40" i="8"/>
  <c r="AK41" i="8"/>
  <c r="AH41" i="8"/>
  <c r="AE41" i="8"/>
  <c r="AB41" i="8"/>
  <c r="AL41" i="8"/>
  <c r="AG41" i="8"/>
  <c r="AC41" i="8"/>
  <c r="AJ41" i="8"/>
  <c r="AF41" i="8"/>
  <c r="AA41" i="8"/>
  <c r="AL41" i="16"/>
  <c r="AI41" i="16"/>
  <c r="AF41" i="16"/>
  <c r="AC41" i="16"/>
  <c r="W41" i="16"/>
  <c r="AK41" i="16"/>
  <c r="AG41" i="16"/>
  <c r="AB41" i="16"/>
  <c r="AJ41" i="16"/>
  <c r="AE41" i="16"/>
  <c r="AA41" i="16"/>
  <c r="AK43" i="16"/>
  <c r="AH43" i="16"/>
  <c r="AE43" i="16"/>
  <c r="AB43" i="16"/>
  <c r="AL43" i="16"/>
  <c r="AG43" i="16"/>
  <c r="AC43" i="16"/>
  <c r="AJ43" i="16"/>
  <c r="AF43" i="16"/>
  <c r="AA43" i="16"/>
  <c r="AK46" i="16"/>
  <c r="AJ46" i="16"/>
  <c r="AF46" i="16"/>
  <c r="AA46" i="16"/>
  <c r="AL46" i="16"/>
  <c r="AD46" i="16"/>
  <c r="AI46" i="16"/>
  <c r="AC46" i="16"/>
  <c r="AD14" i="16"/>
  <c r="AH14" i="16"/>
  <c r="AL7" i="16"/>
  <c r="AJ7" i="16"/>
  <c r="AA7" i="16"/>
  <c r="V9" i="8"/>
  <c r="AD9" i="8"/>
  <c r="AI9" i="8"/>
  <c r="AK11" i="8"/>
  <c r="AL11" i="8"/>
  <c r="AC11" i="8"/>
  <c r="AC14" i="8"/>
  <c r="AD16" i="16"/>
  <c r="AI16" i="16"/>
  <c r="AK19" i="16"/>
  <c r="AL19" i="16"/>
  <c r="AC19" i="16"/>
  <c r="AD20" i="16"/>
  <c r="AA21" i="8"/>
  <c r="AE21" i="8"/>
  <c r="AJ21" i="8"/>
  <c r="AK21" i="16"/>
  <c r="AJ21" i="16"/>
  <c r="AF21" i="16"/>
  <c r="AA21" i="16"/>
  <c r="AL22" i="8"/>
  <c r="AI22" i="8"/>
  <c r="AF22" i="8"/>
  <c r="AC22" i="8"/>
  <c r="V22" i="8"/>
  <c r="AK31" i="8"/>
  <c r="AL31" i="8"/>
  <c r="AC31" i="8"/>
  <c r="AJ31" i="8"/>
  <c r="AF31" i="8"/>
  <c r="AA31" i="8"/>
  <c r="AL32" i="8"/>
  <c r="AI32" i="8"/>
  <c r="AF32" i="8"/>
  <c r="AC32" i="8"/>
  <c r="V32" i="8"/>
  <c r="AK32" i="8"/>
  <c r="AH32" i="8"/>
  <c r="AE32" i="8"/>
  <c r="AB32" i="8"/>
  <c r="AL32" i="16"/>
  <c r="AI32" i="16"/>
  <c r="AF32" i="16"/>
  <c r="AC32" i="16"/>
  <c r="W32" i="16"/>
  <c r="AK32" i="16"/>
  <c r="AG32" i="16"/>
  <c r="AB32" i="16"/>
  <c r="AJ32" i="16"/>
  <c r="AE32" i="16"/>
  <c r="AA32" i="16"/>
  <c r="AD39" i="16"/>
  <c r="AD40" i="8"/>
  <c r="AD41" i="8"/>
  <c r="AD41" i="16"/>
  <c r="AD43" i="16"/>
  <c r="W46" i="16"/>
  <c r="AC23" i="8"/>
  <c r="AL23" i="8"/>
  <c r="W24" i="16"/>
  <c r="AC24" i="16"/>
  <c r="AN24" i="16" s="1"/>
  <c r="AF24" i="16"/>
  <c r="AI24" i="16"/>
  <c r="V27" i="8"/>
  <c r="AC27" i="8"/>
  <c r="AF27" i="8"/>
  <c r="AI27" i="8"/>
  <c r="V29" i="8"/>
  <c r="AC29" i="8"/>
  <c r="AF29" i="8"/>
  <c r="AI29" i="8"/>
  <c r="AB29" i="16"/>
  <c r="AG29" i="16"/>
  <c r="AK29" i="16"/>
  <c r="AP29" i="16" s="1"/>
  <c r="AA30" i="8"/>
  <c r="AD30" i="8"/>
  <c r="AL30" i="8"/>
  <c r="AC30" i="16"/>
  <c r="AL30" i="16"/>
  <c r="AC33" i="16"/>
  <c r="AG33" i="16"/>
  <c r="AB34" i="8"/>
  <c r="AC35" i="8"/>
  <c r="AB35" i="16"/>
  <c r="AK36" i="16"/>
  <c r="AH36" i="16"/>
  <c r="AE36" i="16"/>
  <c r="AM36" i="16" s="1"/>
  <c r="AB36" i="16"/>
  <c r="AN36" i="16" s="1"/>
  <c r="AL37" i="8"/>
  <c r="AI37" i="8"/>
  <c r="AF37" i="8"/>
  <c r="AC37" i="8"/>
  <c r="V37" i="8"/>
  <c r="V37" i="16" s="1"/>
  <c r="AN37" i="16"/>
  <c r="AK38" i="8"/>
  <c r="AH38" i="8"/>
  <c r="AE38" i="8"/>
  <c r="AM38" i="8" s="1"/>
  <c r="AO38" i="8" s="1"/>
  <c r="AB38" i="8"/>
  <c r="AL38" i="16"/>
  <c r="AJ38" i="16"/>
  <c r="AA38" i="16"/>
  <c r="AC42" i="16"/>
  <c r="AG42" i="16"/>
  <c r="AC45" i="16"/>
  <c r="AG45" i="16"/>
  <c r="AB46" i="8"/>
  <c r="AG46" i="8"/>
  <c r="AC48" i="16"/>
  <c r="AG48" i="16"/>
  <c r="AB49" i="8"/>
  <c r="AN27" i="16"/>
  <c r="AK33" i="16"/>
  <c r="AH33" i="16"/>
  <c r="AE33" i="16"/>
  <c r="AB33" i="16"/>
  <c r="AN33" i="16" s="1"/>
  <c r="AL34" i="8"/>
  <c r="AI34" i="8"/>
  <c r="AF34" i="8"/>
  <c r="AC34" i="8"/>
  <c r="V34" i="8"/>
  <c r="AK35" i="8"/>
  <c r="AH35" i="8"/>
  <c r="AE35" i="8"/>
  <c r="AB35" i="8"/>
  <c r="AL35" i="16"/>
  <c r="AI35" i="16"/>
  <c r="AF35" i="16"/>
  <c r="AC35" i="16"/>
  <c r="AK42" i="16"/>
  <c r="AH42" i="16"/>
  <c r="AE42" i="16"/>
  <c r="AP42" i="16" s="1"/>
  <c r="AB42" i="16"/>
  <c r="AK45" i="16"/>
  <c r="AH45" i="16"/>
  <c r="AE45" i="16"/>
  <c r="AB45" i="16"/>
  <c r="AN45" i="16" s="1"/>
  <c r="AL46" i="8"/>
  <c r="AI46" i="8"/>
  <c r="AF46" i="8"/>
  <c r="AC46" i="8"/>
  <c r="V46" i="8"/>
  <c r="AK48" i="16"/>
  <c r="AH48" i="16"/>
  <c r="AE48" i="16"/>
  <c r="AB48" i="16"/>
  <c r="AL49" i="8"/>
  <c r="AI49" i="8"/>
  <c r="AF49" i="8"/>
  <c r="AC49" i="8"/>
  <c r="AP40" i="16"/>
  <c r="AB50" i="16"/>
  <c r="AE50" i="16"/>
  <c r="AH50" i="16"/>
  <c r="AI51" i="8"/>
  <c r="AC51" i="16"/>
  <c r="AF51" i="16"/>
  <c r="AI51" i="16"/>
  <c r="AL51" i="16"/>
  <c r="AA52" i="8"/>
  <c r="AA53" i="8"/>
  <c r="AF53" i="8"/>
  <c r="AA53" i="16"/>
  <c r="AE53" i="16"/>
  <c r="AC54" i="16"/>
  <c r="AG54" i="16"/>
  <c r="AB55" i="8"/>
  <c r="AC56" i="8"/>
  <c r="AB56" i="16"/>
  <c r="AC57" i="8"/>
  <c r="AA57" i="16"/>
  <c r="AE57" i="16"/>
  <c r="AC58" i="16"/>
  <c r="AA59" i="16"/>
  <c r="AF59" i="16"/>
  <c r="AK60" i="16"/>
  <c r="AL60" i="16"/>
  <c r="AG60" i="16"/>
  <c r="AC60" i="16"/>
  <c r="AA61" i="16"/>
  <c r="AK62" i="8"/>
  <c r="AL62" i="8"/>
  <c r="AC62" i="8"/>
  <c r="AL63" i="8"/>
  <c r="AK54" i="16"/>
  <c r="AH54" i="16"/>
  <c r="AE54" i="16"/>
  <c r="AB54" i="16"/>
  <c r="AL55" i="8"/>
  <c r="AI55" i="8"/>
  <c r="AF55" i="8"/>
  <c r="AC55" i="8"/>
  <c r="AK56" i="8"/>
  <c r="AH56" i="8"/>
  <c r="AE56" i="8"/>
  <c r="AB56" i="8"/>
  <c r="AL56" i="16"/>
  <c r="AI56" i="16"/>
  <c r="AF56" i="16"/>
  <c r="AC56" i="16"/>
  <c r="AK58" i="16"/>
  <c r="AH58" i="16"/>
  <c r="AE58" i="16"/>
  <c r="AB58" i="16"/>
  <c r="AL63" i="16"/>
  <c r="AJ63" i="16"/>
  <c r="AA63" i="16"/>
  <c r="AL64" i="8"/>
  <c r="AJ64" i="8"/>
  <c r="AE64" i="8"/>
  <c r="AA64" i="8"/>
  <c r="AK64" i="8"/>
  <c r="AG64" i="8"/>
  <c r="AB64" i="8"/>
  <c r="AL64" i="16"/>
  <c r="AJ64" i="16"/>
  <c r="AE64" i="16"/>
  <c r="AA64" i="16"/>
  <c r="AK64" i="16"/>
  <c r="AG64" i="16"/>
  <c r="AB64" i="16"/>
  <c r="AB51" i="16"/>
  <c r="AN51" i="16" s="1"/>
  <c r="AE51" i="16"/>
  <c r="AH51" i="16"/>
  <c r="AK52" i="8"/>
  <c r="AL52" i="8"/>
  <c r="AG52" i="8"/>
  <c r="AC52" i="8"/>
  <c r="AK53" i="8"/>
  <c r="AH53" i="8"/>
  <c r="AE53" i="8"/>
  <c r="AB53" i="8"/>
  <c r="AL53" i="16"/>
  <c r="AI53" i="16"/>
  <c r="AF53" i="16"/>
  <c r="AC53" i="16"/>
  <c r="AA54" i="16"/>
  <c r="AF54" i="16"/>
  <c r="AJ54" i="16"/>
  <c r="AA55" i="8"/>
  <c r="AE55" i="8"/>
  <c r="AJ55" i="8"/>
  <c r="AA56" i="8"/>
  <c r="AF56" i="8"/>
  <c r="AJ56" i="8"/>
  <c r="AA56" i="16"/>
  <c r="AE56" i="16"/>
  <c r="AJ56" i="16"/>
  <c r="AK57" i="8"/>
  <c r="AJ57" i="8"/>
  <c r="AF57" i="8"/>
  <c r="AA57" i="8"/>
  <c r="AL57" i="16"/>
  <c r="AI57" i="16"/>
  <c r="AF57" i="16"/>
  <c r="AC57" i="16"/>
  <c r="AA58" i="16"/>
  <c r="AF58" i="16"/>
  <c r="AJ58" i="16"/>
  <c r="AP58" i="16" s="1"/>
  <c r="AK59" i="16"/>
  <c r="AH59" i="16"/>
  <c r="AE59" i="16"/>
  <c r="AB59" i="16"/>
  <c r="AK61" i="16"/>
  <c r="AL61" i="16"/>
  <c r="AC61" i="16"/>
  <c r="AD64" i="8"/>
  <c r="AD64" i="16"/>
  <c r="AK66" i="8"/>
  <c r="AH66" i="8"/>
  <c r="AE66" i="8"/>
  <c r="AB66" i="8"/>
  <c r="AL66" i="8"/>
  <c r="AI66" i="8"/>
  <c r="AF66" i="8"/>
  <c r="AC66" i="8"/>
  <c r="AA66" i="16"/>
  <c r="AF66" i="16"/>
  <c r="AJ66" i="16"/>
  <c r="AB66" i="16"/>
  <c r="AN66" i="16" s="1"/>
  <c r="AE66" i="16"/>
  <c r="AH66" i="16"/>
  <c r="AB65" i="16"/>
  <c r="AE65" i="16"/>
  <c r="AH65" i="16"/>
  <c r="AK65" i="16"/>
  <c r="AC65" i="16"/>
  <c r="AF65" i="16"/>
  <c r="AI65" i="16"/>
  <c r="W64" i="16"/>
  <c r="AC64" i="16"/>
  <c r="AF64" i="16"/>
  <c r="AM64" i="16" s="1"/>
  <c r="AO64" i="16" s="1"/>
  <c r="AI64" i="16"/>
  <c r="V64" i="8"/>
  <c r="V64" i="16" s="1"/>
  <c r="AC64" i="8"/>
  <c r="AF64" i="8"/>
  <c r="AI64" i="8"/>
  <c r="AB63" i="16"/>
  <c r="AE63" i="16"/>
  <c r="AH63" i="16"/>
  <c r="AK63" i="16"/>
  <c r="AC63" i="16"/>
  <c r="AF63" i="16"/>
  <c r="AI63" i="16"/>
  <c r="AB63" i="8"/>
  <c r="AE63" i="8"/>
  <c r="AH63" i="8"/>
  <c r="AK63" i="8"/>
  <c r="AC63" i="8"/>
  <c r="AF63" i="8"/>
  <c r="AI63" i="8"/>
  <c r="AA62" i="8"/>
  <c r="AD62" i="8"/>
  <c r="AG62" i="8"/>
  <c r="AJ62" i="8"/>
  <c r="AB62" i="8"/>
  <c r="AE62" i="8"/>
  <c r="AH62" i="8"/>
  <c r="AB61" i="16"/>
  <c r="AE61" i="16"/>
  <c r="AH61" i="16"/>
  <c r="AB60" i="16"/>
  <c r="AN60" i="16" s="1"/>
  <c r="AE60" i="16"/>
  <c r="AP60" i="16" s="1"/>
  <c r="AH60" i="16"/>
  <c r="AB60" i="8"/>
  <c r="AE60" i="8"/>
  <c r="AH60" i="8"/>
  <c r="AM58" i="16"/>
  <c r="AO58" i="16" s="1"/>
  <c r="AB57" i="8"/>
  <c r="AE57" i="8"/>
  <c r="AH57" i="8"/>
  <c r="AM54" i="16"/>
  <c r="AO54" i="16" s="1"/>
  <c r="AM52" i="16"/>
  <c r="AO52" i="16" s="1"/>
  <c r="AB52" i="8"/>
  <c r="AE52" i="8"/>
  <c r="AH52" i="8"/>
  <c r="AB51" i="8"/>
  <c r="AE51" i="8"/>
  <c r="AH51" i="8"/>
  <c r="AK51" i="8"/>
  <c r="AA51" i="8"/>
  <c r="AD51" i="8"/>
  <c r="AB50" i="8"/>
  <c r="AE50" i="8"/>
  <c r="AH50" i="8"/>
  <c r="AK50" i="8"/>
  <c r="AA50" i="8"/>
  <c r="AD50" i="8"/>
  <c r="AM48" i="16"/>
  <c r="AO48" i="16" s="1"/>
  <c r="V47" i="8"/>
  <c r="V47" i="16" s="1"/>
  <c r="AC47" i="8"/>
  <c r="AF47" i="8"/>
  <c r="AI47" i="8"/>
  <c r="AB46" i="16"/>
  <c r="AE46" i="16"/>
  <c r="AH46" i="16"/>
  <c r="AM46" i="8"/>
  <c r="AO46" i="8" s="1"/>
  <c r="AC44" i="8"/>
  <c r="AF44" i="8"/>
  <c r="AI44" i="8"/>
  <c r="AM43" i="16"/>
  <c r="AO43" i="16" s="1"/>
  <c r="AB43" i="8"/>
  <c r="AN43" i="8" s="1"/>
  <c r="AE43" i="8"/>
  <c r="AM43" i="8" s="1"/>
  <c r="AO43" i="8" s="1"/>
  <c r="AH43" i="8"/>
  <c r="AM39" i="16"/>
  <c r="AO39" i="16" s="1"/>
  <c r="AB38" i="16"/>
  <c r="AE38" i="16"/>
  <c r="AP38" i="16" s="1"/>
  <c r="AH38" i="16"/>
  <c r="AK38" i="16"/>
  <c r="W38" i="16"/>
  <c r="AC38" i="16"/>
  <c r="AF38" i="16"/>
  <c r="AI38" i="16"/>
  <c r="AB34" i="16"/>
  <c r="AE34" i="16"/>
  <c r="AM34" i="16" s="1"/>
  <c r="AO34" i="16" s="1"/>
  <c r="AH34" i="16"/>
  <c r="AK34" i="16"/>
  <c r="W34" i="16"/>
  <c r="AC34" i="16"/>
  <c r="AF34" i="16"/>
  <c r="AI34" i="16"/>
  <c r="AM32" i="16"/>
  <c r="AO32" i="16" s="1"/>
  <c r="AB31" i="16"/>
  <c r="AN31" i="16" s="1"/>
  <c r="AE31" i="16"/>
  <c r="AP31" i="16" s="1"/>
  <c r="AH31" i="16"/>
  <c r="AB31" i="8"/>
  <c r="AE31" i="8"/>
  <c r="AH31" i="8"/>
  <c r="AA30" i="16"/>
  <c r="AD30" i="16"/>
  <c r="AJ30" i="16"/>
  <c r="AB30" i="16"/>
  <c r="AE30" i="16"/>
  <c r="AH30" i="16"/>
  <c r="AH30" i="8"/>
  <c r="W29" i="16"/>
  <c r="AC29" i="16"/>
  <c r="AN29" i="16" s="1"/>
  <c r="AF29" i="16"/>
  <c r="AM29" i="16" s="1"/>
  <c r="AO29" i="16" s="1"/>
  <c r="AI29" i="16"/>
  <c r="W28" i="16"/>
  <c r="AC28" i="16"/>
  <c r="AF28" i="16"/>
  <c r="AM28" i="16" s="1"/>
  <c r="AO28" i="16" s="1"/>
  <c r="AI28" i="16"/>
  <c r="AB26" i="16"/>
  <c r="AE26" i="16"/>
  <c r="AM26" i="16" s="1"/>
  <c r="AO26" i="16" s="1"/>
  <c r="AH26" i="16"/>
  <c r="AK26" i="16"/>
  <c r="W26" i="16"/>
  <c r="AC26" i="16"/>
  <c r="AF26" i="16"/>
  <c r="AI26" i="16"/>
  <c r="AB25" i="16"/>
  <c r="AE25" i="16"/>
  <c r="AH25" i="16"/>
  <c r="AK25" i="16"/>
  <c r="W25" i="16"/>
  <c r="AC25" i="16"/>
  <c r="AF25" i="16"/>
  <c r="AI25" i="16"/>
  <c r="AB23" i="16"/>
  <c r="AE23" i="16"/>
  <c r="AH23" i="16"/>
  <c r="AK23" i="16"/>
  <c r="AC23" i="16"/>
  <c r="AF23" i="16"/>
  <c r="AM23" i="16" s="1"/>
  <c r="AO23" i="16" s="1"/>
  <c r="AI23" i="16"/>
  <c r="AB23" i="8"/>
  <c r="AE23" i="8"/>
  <c r="AH23" i="8"/>
  <c r="AB21" i="16"/>
  <c r="AE21" i="16"/>
  <c r="AH21" i="16"/>
  <c r="AB20" i="16"/>
  <c r="AE20" i="16"/>
  <c r="AH20" i="16"/>
  <c r="AK20" i="16"/>
  <c r="AC20" i="16"/>
  <c r="AF20" i="16"/>
  <c r="AI20" i="16"/>
  <c r="AB19" i="16"/>
  <c r="AE19" i="16"/>
  <c r="AH19" i="16"/>
  <c r="AB19" i="8"/>
  <c r="AE19" i="8"/>
  <c r="AH19" i="8"/>
  <c r="AK19" i="8"/>
  <c r="AC19" i="8"/>
  <c r="AF19" i="8"/>
  <c r="AI19" i="8"/>
  <c r="AM18" i="16"/>
  <c r="AO18" i="16" s="1"/>
  <c r="AE17" i="8"/>
  <c r="AH17" i="8"/>
  <c r="AM16" i="16"/>
  <c r="AO16" i="16" s="1"/>
  <c r="AB15" i="16"/>
  <c r="AE15" i="16"/>
  <c r="AH15" i="16"/>
  <c r="AE14" i="8"/>
  <c r="AH14" i="8"/>
  <c r="AB13" i="8"/>
  <c r="AE13" i="8"/>
  <c r="AH13" i="8"/>
  <c r="AB12" i="16"/>
  <c r="AN12" i="16" s="1"/>
  <c r="AE12" i="16"/>
  <c r="AH12" i="16"/>
  <c r="AK12" i="16"/>
  <c r="W12" i="16"/>
  <c r="AC12" i="16"/>
  <c r="AF12" i="16"/>
  <c r="AM12" i="16" s="1"/>
  <c r="AO12" i="16" s="1"/>
  <c r="AI12" i="16"/>
  <c r="AM12" i="8"/>
  <c r="AB11" i="16"/>
  <c r="AE11" i="16"/>
  <c r="AH11" i="16"/>
  <c r="AB11" i="8"/>
  <c r="AE11" i="8"/>
  <c r="AH11" i="8"/>
  <c r="AB10" i="16"/>
  <c r="AN10" i="16" s="1"/>
  <c r="AE10" i="16"/>
  <c r="AH10" i="16"/>
  <c r="AB10" i="8"/>
  <c r="AE10" i="8"/>
  <c r="AH10" i="8"/>
  <c r="AB9" i="16"/>
  <c r="AE9" i="16"/>
  <c r="AH9" i="16"/>
  <c r="AK9" i="16"/>
  <c r="W9" i="16"/>
  <c r="AC9" i="16"/>
  <c r="AF9" i="16"/>
  <c r="AI9" i="16"/>
  <c r="AN8" i="16"/>
  <c r="AB8" i="8"/>
  <c r="AE8" i="8"/>
  <c r="AH8" i="8"/>
  <c r="AB7" i="16"/>
  <c r="AE7" i="16"/>
  <c r="AH7" i="16"/>
  <c r="AK7" i="16"/>
  <c r="AC7" i="16"/>
  <c r="AF7" i="16"/>
  <c r="AI7" i="16"/>
  <c r="AB7" i="8"/>
  <c r="AE7" i="8"/>
  <c r="AH7" i="8"/>
  <c r="AA6" i="16"/>
  <c r="AD6" i="16"/>
  <c r="AJ6" i="16"/>
  <c r="AB6" i="16"/>
  <c r="AE6" i="16"/>
  <c r="AH6" i="16"/>
  <c r="AK6" i="16"/>
  <c r="AC6" i="16"/>
  <c r="AF6" i="16"/>
  <c r="AI6" i="16"/>
  <c r="AP6" i="20"/>
  <c r="AR6" i="20" s="1"/>
  <c r="AQ6" i="20" s="1"/>
  <c r="AS6" i="20" s="1"/>
  <c r="AU6" i="20" s="1"/>
  <c r="AT6" i="20" s="1"/>
  <c r="AP6" i="19"/>
  <c r="AR6" i="19" s="1"/>
  <c r="AQ6" i="19" s="1"/>
  <c r="AS6" i="19" s="1"/>
  <c r="AU6" i="19" s="1"/>
  <c r="AT6" i="19" s="1"/>
  <c r="AP55" i="16" l="1"/>
  <c r="AM55" i="16"/>
  <c r="AM51" i="16"/>
  <c r="AO36" i="16"/>
  <c r="AG36" i="16"/>
  <c r="AP17" i="16"/>
  <c r="AM14" i="16"/>
  <c r="AP9" i="8"/>
  <c r="V39" i="16"/>
  <c r="AP42" i="8"/>
  <c r="AM36" i="8"/>
  <c r="AN32" i="8"/>
  <c r="AM32" i="8"/>
  <c r="AO32" i="8" s="1"/>
  <c r="AP45" i="8"/>
  <c r="AR45" i="8" s="1"/>
  <c r="AQ45" i="8" s="1"/>
  <c r="AS45" i="8" s="1"/>
  <c r="AU45" i="8" s="1"/>
  <c r="AT45" i="8" s="1"/>
  <c r="AN10" i="8"/>
  <c r="AN29" i="8"/>
  <c r="AM61" i="8"/>
  <c r="AO61" i="8" s="1"/>
  <c r="AM16" i="8"/>
  <c r="AP58" i="8"/>
  <c r="AM37" i="8"/>
  <c r="AO37" i="8" s="1"/>
  <c r="AP16" i="8"/>
  <c r="AN45" i="8"/>
  <c r="AP10" i="8"/>
  <c r="AN52" i="8"/>
  <c r="V52" i="16"/>
  <c r="AN37" i="8"/>
  <c r="AP37" i="8"/>
  <c r="V48" i="16"/>
  <c r="AM28" i="8"/>
  <c r="AN60" i="8"/>
  <c r="AP29" i="8"/>
  <c r="AR29" i="8" s="1"/>
  <c r="AQ29" i="8" s="1"/>
  <c r="AS29" i="8" s="1"/>
  <c r="AU29" i="8" s="1"/>
  <c r="AP25" i="8"/>
  <c r="AM26" i="8"/>
  <c r="AO26" i="8" s="1"/>
  <c r="AP48" i="8"/>
  <c r="AP39" i="8"/>
  <c r="V45" i="16"/>
  <c r="AP34" i="8"/>
  <c r="V60" i="16"/>
  <c r="V41" i="16"/>
  <c r="AM40" i="8"/>
  <c r="AO40" i="8" s="1"/>
  <c r="AM24" i="8"/>
  <c r="AO24" i="8" s="1"/>
  <c r="AP15" i="8"/>
  <c r="AN27" i="8"/>
  <c r="AN17" i="8"/>
  <c r="AM66" i="8"/>
  <c r="AO66" i="8" s="1"/>
  <c r="AN47" i="8"/>
  <c r="AP46" i="8"/>
  <c r="AN25" i="8"/>
  <c r="AP33" i="8"/>
  <c r="AN39" i="8"/>
  <c r="AN38" i="8"/>
  <c r="AP26" i="8"/>
  <c r="AM39" i="8"/>
  <c r="AO39" i="8" s="1"/>
  <c r="AP38" i="8"/>
  <c r="AR38" i="8" s="1"/>
  <c r="AQ38" i="8" s="1"/>
  <c r="AS38" i="8" s="1"/>
  <c r="AU38" i="8" s="1"/>
  <c r="AT38" i="8" s="1"/>
  <c r="AN61" i="8"/>
  <c r="AM27" i="8"/>
  <c r="AO27" i="8" s="1"/>
  <c r="AP61" i="8"/>
  <c r="AM29" i="8"/>
  <c r="AO29" i="8" s="1"/>
  <c r="AP43" i="8"/>
  <c r="AO28" i="8"/>
  <c r="AP8" i="8"/>
  <c r="AP28" i="8"/>
  <c r="AN48" i="8"/>
  <c r="AO12" i="8"/>
  <c r="AG12" i="8" s="1"/>
  <c r="AP60" i="8"/>
  <c r="AN64" i="8"/>
  <c r="V46" i="16"/>
  <c r="AP27" i="8"/>
  <c r="AP32" i="8"/>
  <c r="AR32" i="8" s="1"/>
  <c r="AQ32" i="8" s="1"/>
  <c r="AS32" i="8" s="1"/>
  <c r="AU32" i="8" s="1"/>
  <c r="AT32" i="8" s="1"/>
  <c r="AN26" i="8"/>
  <c r="AR25" i="8"/>
  <c r="AQ25" i="8" s="1"/>
  <c r="AS25" i="8" s="1"/>
  <c r="AU25" i="8" s="1"/>
  <c r="AP54" i="8"/>
  <c r="AP41" i="8"/>
  <c r="AO16" i="8"/>
  <c r="AG16" i="8"/>
  <c r="AG32" i="8"/>
  <c r="AG25" i="8"/>
  <c r="AM20" i="8"/>
  <c r="AO20" i="8" s="1"/>
  <c r="AM34" i="8"/>
  <c r="AM41" i="8"/>
  <c r="AO41" i="8" s="1"/>
  <c r="AM47" i="8"/>
  <c r="AO47" i="8" s="1"/>
  <c r="AP24" i="8"/>
  <c r="AN42" i="8"/>
  <c r="AR42" i="8" s="1"/>
  <c r="AQ42" i="8" s="1"/>
  <c r="AS42" i="8" s="1"/>
  <c r="AU42" i="8" s="1"/>
  <c r="AT42" i="8" s="1"/>
  <c r="AN33" i="8"/>
  <c r="AM9" i="8"/>
  <c r="AP31" i="8"/>
  <c r="AP12" i="8"/>
  <c r="AP17" i="8"/>
  <c r="AN31" i="8"/>
  <c r="AP52" i="8"/>
  <c r="AN66" i="8"/>
  <c r="V40" i="16"/>
  <c r="V38" i="16"/>
  <c r="AN54" i="8"/>
  <c r="AP66" i="8"/>
  <c r="AG61" i="8"/>
  <c r="AN58" i="8"/>
  <c r="AR58" i="8" s="1"/>
  <c r="AQ58" i="8" s="1"/>
  <c r="AS58" i="8" s="1"/>
  <c r="AU58" i="8" s="1"/>
  <c r="AG58" i="8"/>
  <c r="AP55" i="8"/>
  <c r="AO36" i="8"/>
  <c r="AG36" i="8" s="1"/>
  <c r="AN23" i="8"/>
  <c r="AP14" i="8"/>
  <c r="AN8" i="8"/>
  <c r="AM65" i="16"/>
  <c r="AP59" i="16"/>
  <c r="AM57" i="16"/>
  <c r="AP56" i="16"/>
  <c r="AM56" i="16"/>
  <c r="AN50" i="16"/>
  <c r="AP50" i="16"/>
  <c r="AM49" i="16"/>
  <c r="AN49" i="16"/>
  <c r="AP49" i="16"/>
  <c r="AM44" i="16"/>
  <c r="AP44" i="16"/>
  <c r="AM35" i="16"/>
  <c r="AP35" i="16"/>
  <c r="AN20" i="16"/>
  <c r="AN21" i="16"/>
  <c r="AP19" i="16"/>
  <c r="AM15" i="16"/>
  <c r="AN13" i="16"/>
  <c r="AP13" i="16"/>
  <c r="AM13" i="16"/>
  <c r="AN11" i="16"/>
  <c r="AM11" i="16"/>
  <c r="AN20" i="8"/>
  <c r="AP20" i="8"/>
  <c r="AN44" i="8"/>
  <c r="AM44" i="8"/>
  <c r="AP35" i="8"/>
  <c r="AM35" i="8"/>
  <c r="AN35" i="8"/>
  <c r="AM30" i="8"/>
  <c r="AN30" i="8"/>
  <c r="AM56" i="8"/>
  <c r="AN56" i="8"/>
  <c r="AP56" i="8"/>
  <c r="AM59" i="8"/>
  <c r="AP59" i="8"/>
  <c r="AN59" i="8"/>
  <c r="AM63" i="8"/>
  <c r="AN65" i="8"/>
  <c r="AM65" i="8"/>
  <c r="AP65" i="8"/>
  <c r="AM49" i="8"/>
  <c r="AP49" i="8"/>
  <c r="AP53" i="8"/>
  <c r="AM53" i="8"/>
  <c r="AN22" i="8"/>
  <c r="AM21" i="8"/>
  <c r="AP21" i="8"/>
  <c r="AM22" i="8"/>
  <c r="AP22" i="8"/>
  <c r="AP19" i="8"/>
  <c r="AM19" i="8"/>
  <c r="AM18" i="8"/>
  <c r="AN18" i="8"/>
  <c r="AP18" i="8"/>
  <c r="AM15" i="8"/>
  <c r="AN15" i="8"/>
  <c r="AN13" i="8"/>
  <c r="AP13" i="8"/>
  <c r="AN11" i="8"/>
  <c r="AP11" i="8"/>
  <c r="AP7" i="8"/>
  <c r="AN7" i="8"/>
  <c r="AM7" i="8"/>
  <c r="AN6" i="8"/>
  <c r="AP6" i="8"/>
  <c r="AM6" i="8"/>
  <c r="AR62" i="16"/>
  <c r="AQ62" i="16" s="1"/>
  <c r="AS62" i="16" s="1"/>
  <c r="AU62" i="16" s="1"/>
  <c r="AT62" i="16" s="1"/>
  <c r="AP8" i="16"/>
  <c r="AP9" i="16"/>
  <c r="AP11" i="16"/>
  <c r="AP15" i="16"/>
  <c r="AN19" i="16"/>
  <c r="AM22" i="16"/>
  <c r="AO22" i="16" s="1"/>
  <c r="AR22" i="16" s="1"/>
  <c r="AQ22" i="16" s="1"/>
  <c r="AS22" i="16" s="1"/>
  <c r="AU22" i="16" s="1"/>
  <c r="AT22" i="16" s="1"/>
  <c r="AM27" i="16"/>
  <c r="AO27" i="16" s="1"/>
  <c r="AR27" i="16" s="1"/>
  <c r="AQ27" i="16" s="1"/>
  <c r="AS27" i="16" s="1"/>
  <c r="AU27" i="16" s="1"/>
  <c r="AT27" i="16" s="1"/>
  <c r="AM31" i="16"/>
  <c r="AO31" i="16" s="1"/>
  <c r="AM37" i="16"/>
  <c r="AO37" i="16" s="1"/>
  <c r="AM7" i="16"/>
  <c r="AN15" i="16"/>
  <c r="AM17" i="16"/>
  <c r="AP23" i="16"/>
  <c r="AN28" i="16"/>
  <c r="AN46" i="16"/>
  <c r="AM63" i="16"/>
  <c r="AN63" i="16"/>
  <c r="AP57" i="16"/>
  <c r="AP51" i="16"/>
  <c r="AP54" i="16"/>
  <c r="AP53" i="16"/>
  <c r="AP48" i="16"/>
  <c r="AP45" i="16"/>
  <c r="AN42" i="16"/>
  <c r="AN35" i="16"/>
  <c r="AP24" i="16"/>
  <c r="AP41" i="16"/>
  <c r="AP39" i="16"/>
  <c r="AP32" i="16"/>
  <c r="AP16" i="16"/>
  <c r="AP18" i="16"/>
  <c r="AR52" i="16"/>
  <c r="AQ52" i="16" s="1"/>
  <c r="AS52" i="16" s="1"/>
  <c r="AU52" i="16" s="1"/>
  <c r="AT52" i="16" s="1"/>
  <c r="AP10" i="16"/>
  <c r="AP21" i="16"/>
  <c r="AM59" i="16"/>
  <c r="AP66" i="16"/>
  <c r="AN57" i="16"/>
  <c r="AN53" i="16"/>
  <c r="AN48" i="16"/>
  <c r="AP33" i="16"/>
  <c r="AP36" i="16"/>
  <c r="AR36" i="16" s="1"/>
  <c r="AQ36" i="16" s="1"/>
  <c r="AS36" i="16" s="1"/>
  <c r="AU36" i="16" s="1"/>
  <c r="AT36" i="16" s="1"/>
  <c r="W36" i="16" s="1"/>
  <c r="AP14" i="16"/>
  <c r="AN18" i="16"/>
  <c r="AG18" i="16" s="1"/>
  <c r="AR42" i="16"/>
  <c r="AQ42" i="16" s="1"/>
  <c r="AS42" i="16" s="1"/>
  <c r="AU42" i="16" s="1"/>
  <c r="AT42" i="16" s="1"/>
  <c r="AR48" i="16"/>
  <c r="AQ48" i="16" s="1"/>
  <c r="AS48" i="16" s="1"/>
  <c r="AU48" i="16" s="1"/>
  <c r="AT48" i="16" s="1"/>
  <c r="AR54" i="16"/>
  <c r="AQ54" i="16" s="1"/>
  <c r="AS54" i="16" s="1"/>
  <c r="AU54" i="16" s="1"/>
  <c r="AT54" i="16" s="1"/>
  <c r="AN64" i="16"/>
  <c r="AP7" i="16"/>
  <c r="AM8" i="8"/>
  <c r="AM9" i="16"/>
  <c r="AO9" i="16" s="1"/>
  <c r="AN9" i="16"/>
  <c r="AR9" i="16" s="1"/>
  <c r="AQ9" i="16" s="1"/>
  <c r="AS9" i="16" s="1"/>
  <c r="AU9" i="16" s="1"/>
  <c r="AT9" i="16" s="1"/>
  <c r="AP12" i="16"/>
  <c r="AR12" i="16" s="1"/>
  <c r="AQ12" i="16" s="1"/>
  <c r="AS12" i="16" s="1"/>
  <c r="AU12" i="16" s="1"/>
  <c r="AT12" i="16" s="1"/>
  <c r="AN19" i="8"/>
  <c r="AM20" i="16"/>
  <c r="AP23" i="8"/>
  <c r="AM24" i="16"/>
  <c r="AO24" i="16" s="1"/>
  <c r="AR24" i="16" s="1"/>
  <c r="AQ24" i="16" s="1"/>
  <c r="AS24" i="16" s="1"/>
  <c r="AU24" i="16" s="1"/>
  <c r="AT24" i="16" s="1"/>
  <c r="AM25" i="16"/>
  <c r="AO25" i="16" s="1"/>
  <c r="AP25" i="16"/>
  <c r="AR25" i="16" s="1"/>
  <c r="AQ25" i="16" s="1"/>
  <c r="AS25" i="16" s="1"/>
  <c r="AU25" i="16" s="1"/>
  <c r="AT25" i="16" s="1"/>
  <c r="AN25" i="16"/>
  <c r="AN26" i="16"/>
  <c r="AM33" i="16"/>
  <c r="AO33" i="16" s="1"/>
  <c r="AR33" i="16" s="1"/>
  <c r="AQ33" i="16" s="1"/>
  <c r="AS33" i="16" s="1"/>
  <c r="AU33" i="16" s="1"/>
  <c r="AT33" i="16" s="1"/>
  <c r="AN34" i="16"/>
  <c r="AR37" i="16"/>
  <c r="AQ37" i="16" s="1"/>
  <c r="AS37" i="16" s="1"/>
  <c r="AU37" i="16" s="1"/>
  <c r="AT37" i="16" s="1"/>
  <c r="AM38" i="16"/>
  <c r="AO38" i="16" s="1"/>
  <c r="AN38" i="16"/>
  <c r="AR38" i="16" s="1"/>
  <c r="AQ38" i="16" s="1"/>
  <c r="AS38" i="16" s="1"/>
  <c r="AU38" i="16" s="1"/>
  <c r="AT38" i="16" s="1"/>
  <c r="AM41" i="16"/>
  <c r="AO41" i="16" s="1"/>
  <c r="AM45" i="16"/>
  <c r="AO45" i="16" s="1"/>
  <c r="AP46" i="16"/>
  <c r="AM50" i="16"/>
  <c r="AM52" i="8"/>
  <c r="AO52" i="8" s="1"/>
  <c r="AR52" i="8" s="1"/>
  <c r="AQ52" i="8" s="1"/>
  <c r="AS52" i="8" s="1"/>
  <c r="AU52" i="8" s="1"/>
  <c r="AT52" i="8" s="1"/>
  <c r="AM53" i="16"/>
  <c r="AM55" i="8"/>
  <c r="AN57" i="8"/>
  <c r="AN61" i="16"/>
  <c r="AN62" i="8"/>
  <c r="AP63" i="8"/>
  <c r="AP63" i="16"/>
  <c r="AM64" i="8"/>
  <c r="AO64" i="8" s="1"/>
  <c r="AN59" i="16"/>
  <c r="AN53" i="8"/>
  <c r="AN54" i="16"/>
  <c r="AN56" i="16"/>
  <c r="AN49" i="8"/>
  <c r="AP30" i="8"/>
  <c r="AP43" i="16"/>
  <c r="AR43" i="16" s="1"/>
  <c r="AQ43" i="16" s="1"/>
  <c r="AS43" i="16" s="1"/>
  <c r="AU43" i="16" s="1"/>
  <c r="AT43" i="16" s="1"/>
  <c r="AP40" i="8"/>
  <c r="AN43" i="16"/>
  <c r="AN41" i="8"/>
  <c r="AN39" i="16"/>
  <c r="AR39" i="16" s="1"/>
  <c r="AQ39" i="16" s="1"/>
  <c r="AS39" i="16" s="1"/>
  <c r="AU39" i="16" s="1"/>
  <c r="AT39" i="16" s="1"/>
  <c r="AN14" i="8"/>
  <c r="AN14" i="16"/>
  <c r="AN58" i="16"/>
  <c r="AN55" i="8"/>
  <c r="AN46" i="8"/>
  <c r="AN41" i="16"/>
  <c r="AN40" i="8"/>
  <c r="AN47" i="16"/>
  <c r="AR47" i="16" s="1"/>
  <c r="AQ47" i="16" s="1"/>
  <c r="AS47" i="16" s="1"/>
  <c r="AU47" i="16" s="1"/>
  <c r="AT47" i="16" s="1"/>
  <c r="AN21" i="8"/>
  <c r="AN16" i="16"/>
  <c r="AR16" i="16" s="1"/>
  <c r="AQ16" i="16" s="1"/>
  <c r="AS16" i="16" s="1"/>
  <c r="AU16" i="16" s="1"/>
  <c r="AT16" i="16" s="1"/>
  <c r="AR37" i="8"/>
  <c r="AQ37" i="8" s="1"/>
  <c r="AS37" i="8" s="1"/>
  <c r="AU37" i="8" s="1"/>
  <c r="AT37" i="8" s="1"/>
  <c r="AP57" i="8"/>
  <c r="AM60" i="16"/>
  <c r="AO60" i="16" s="1"/>
  <c r="AR60" i="16" s="1"/>
  <c r="AQ60" i="16" s="1"/>
  <c r="AS60" i="16" s="1"/>
  <c r="AU60" i="16" s="1"/>
  <c r="AT60" i="16" s="1"/>
  <c r="AP61" i="16"/>
  <c r="AN34" i="8"/>
  <c r="AN32" i="16"/>
  <c r="AN24" i="8"/>
  <c r="AN44" i="16"/>
  <c r="AN28" i="8"/>
  <c r="AN9" i="8"/>
  <c r="AM66" i="16"/>
  <c r="AP65" i="16"/>
  <c r="AN65" i="16"/>
  <c r="AP64" i="16"/>
  <c r="AR64" i="16" s="1"/>
  <c r="AQ64" i="16" s="1"/>
  <c r="AS64" i="16" s="1"/>
  <c r="AU64" i="16" s="1"/>
  <c r="AT64" i="16" s="1"/>
  <c r="AP64" i="8"/>
  <c r="AN63" i="8"/>
  <c r="AP62" i="8"/>
  <c r="AM62" i="8"/>
  <c r="AO62" i="8" s="1"/>
  <c r="AM61" i="16"/>
  <c r="AM60" i="8"/>
  <c r="AO60" i="8" s="1"/>
  <c r="AM57" i="8"/>
  <c r="AN51" i="8"/>
  <c r="AP51" i="8"/>
  <c r="AM51" i="8"/>
  <c r="AN50" i="8"/>
  <c r="AP50" i="8"/>
  <c r="AM50" i="8"/>
  <c r="AP47" i="8"/>
  <c r="AM46" i="16"/>
  <c r="AO46" i="16" s="1"/>
  <c r="AP44" i="8"/>
  <c r="AR43" i="8"/>
  <c r="AQ43" i="8" s="1"/>
  <c r="AS43" i="8" s="1"/>
  <c r="AU43" i="8" s="1"/>
  <c r="AT43" i="8" s="1"/>
  <c r="AP34" i="16"/>
  <c r="AR34" i="16" s="1"/>
  <c r="AQ34" i="16" s="1"/>
  <c r="AS34" i="16" s="1"/>
  <c r="AU34" i="16" s="1"/>
  <c r="AT34" i="16" s="1"/>
  <c r="AR31" i="16"/>
  <c r="AQ31" i="16" s="1"/>
  <c r="AS31" i="16" s="1"/>
  <c r="AU31" i="16" s="1"/>
  <c r="AT31" i="16" s="1"/>
  <c r="AM31" i="8"/>
  <c r="AN30" i="16"/>
  <c r="AP30" i="16"/>
  <c r="AM30" i="16"/>
  <c r="AR29" i="16"/>
  <c r="AQ29" i="16" s="1"/>
  <c r="AS29" i="16" s="1"/>
  <c r="AU29" i="16" s="1"/>
  <c r="AT29" i="16" s="1"/>
  <c r="AP28" i="16"/>
  <c r="AR28" i="16" s="1"/>
  <c r="AQ28" i="16" s="1"/>
  <c r="AS28" i="16" s="1"/>
  <c r="AU28" i="16" s="1"/>
  <c r="AT28" i="16" s="1"/>
  <c r="AP26" i="16"/>
  <c r="AR26" i="16" s="1"/>
  <c r="AQ26" i="16" s="1"/>
  <c r="AS26" i="16" s="1"/>
  <c r="AU26" i="16" s="1"/>
  <c r="AT26" i="16" s="1"/>
  <c r="AN23" i="16"/>
  <c r="AM23" i="8"/>
  <c r="AM21" i="16"/>
  <c r="AP20" i="16"/>
  <c r="AM19" i="16"/>
  <c r="AM17" i="8"/>
  <c r="AM14" i="8"/>
  <c r="AM13" i="8"/>
  <c r="AM11" i="8"/>
  <c r="AM10" i="16"/>
  <c r="AO10" i="16" s="1"/>
  <c r="AR10" i="16" s="1"/>
  <c r="AQ10" i="16" s="1"/>
  <c r="AS10" i="16" s="1"/>
  <c r="AU10" i="16" s="1"/>
  <c r="AT10" i="16" s="1"/>
  <c r="AM10" i="8"/>
  <c r="AM8" i="16"/>
  <c r="AN7" i="16"/>
  <c r="AN6" i="16"/>
  <c r="AP6" i="16"/>
  <c r="AM6" i="16"/>
  <c r="AO55" i="16" l="1"/>
  <c r="AG55" i="16"/>
  <c r="AR55" i="16"/>
  <c r="AQ55" i="16" s="1"/>
  <c r="AS55" i="16" s="1"/>
  <c r="AU55" i="16" s="1"/>
  <c r="AT55" i="16" s="1"/>
  <c r="W55" i="16" s="1"/>
  <c r="AO66" i="16"/>
  <c r="AR66" i="16" s="1"/>
  <c r="AQ66" i="16" s="1"/>
  <c r="AS66" i="16" s="1"/>
  <c r="AU66" i="16" s="1"/>
  <c r="AT66" i="16" s="1"/>
  <c r="W66" i="16" s="1"/>
  <c r="AO61" i="16"/>
  <c r="AG61" i="16" s="1"/>
  <c r="AR58" i="16"/>
  <c r="AQ58" i="16" s="1"/>
  <c r="AS58" i="16" s="1"/>
  <c r="AU58" i="16" s="1"/>
  <c r="AT58" i="16" s="1"/>
  <c r="W58" i="16" s="1"/>
  <c r="AG58" i="16"/>
  <c r="AO51" i="16"/>
  <c r="AR51" i="16" s="1"/>
  <c r="AQ51" i="16" s="1"/>
  <c r="AS51" i="16" s="1"/>
  <c r="AU51" i="16" s="1"/>
  <c r="AT51" i="16" s="1"/>
  <c r="W51" i="16" s="1"/>
  <c r="AG51" i="16"/>
  <c r="AR23" i="16"/>
  <c r="AQ23" i="16" s="1"/>
  <c r="AS23" i="16" s="1"/>
  <c r="AU23" i="16" s="1"/>
  <c r="AT23" i="16" s="1"/>
  <c r="W23" i="16" s="1"/>
  <c r="AG23" i="16"/>
  <c r="AO17" i="16"/>
  <c r="AR17" i="16" s="1"/>
  <c r="AQ17" i="16" s="1"/>
  <c r="AS17" i="16" s="1"/>
  <c r="AU17" i="16" s="1"/>
  <c r="AT17" i="16" s="1"/>
  <c r="W17" i="16" s="1"/>
  <c r="AG17" i="16"/>
  <c r="AO14" i="16"/>
  <c r="AR14" i="16" s="1"/>
  <c r="AQ14" i="16" s="1"/>
  <c r="AS14" i="16" s="1"/>
  <c r="AU14" i="16" s="1"/>
  <c r="AT14" i="16" s="1"/>
  <c r="W14" i="16" s="1"/>
  <c r="AG14" i="16"/>
  <c r="AR16" i="8"/>
  <c r="AQ16" i="8" s="1"/>
  <c r="AS16" i="8" s="1"/>
  <c r="AU16" i="8" s="1"/>
  <c r="AR48" i="8"/>
  <c r="AQ48" i="8" s="1"/>
  <c r="AS48" i="8" s="1"/>
  <c r="AU48" i="8" s="1"/>
  <c r="AT48" i="8" s="1"/>
  <c r="AO8" i="16"/>
  <c r="AR8" i="16" s="1"/>
  <c r="AQ8" i="16" s="1"/>
  <c r="AS8" i="16" s="1"/>
  <c r="AU8" i="16" s="1"/>
  <c r="AT8" i="16" s="1"/>
  <c r="W8" i="16" s="1"/>
  <c r="AG26" i="8"/>
  <c r="AR46" i="8"/>
  <c r="AQ46" i="8" s="1"/>
  <c r="AS46" i="8" s="1"/>
  <c r="AU46" i="8" s="1"/>
  <c r="AT46" i="8" s="1"/>
  <c r="AR24" i="8"/>
  <c r="AQ24" i="8" s="1"/>
  <c r="AS24" i="8" s="1"/>
  <c r="AU24" i="8" s="1"/>
  <c r="AG66" i="8"/>
  <c r="AR61" i="8"/>
  <c r="AQ61" i="8" s="1"/>
  <c r="AS61" i="8" s="1"/>
  <c r="AU61" i="8" s="1"/>
  <c r="AT61" i="8" s="1"/>
  <c r="V61" i="8" s="1"/>
  <c r="AR47" i="8"/>
  <c r="AQ47" i="8" s="1"/>
  <c r="AS47" i="8" s="1"/>
  <c r="AU47" i="8" s="1"/>
  <c r="AT47" i="8" s="1"/>
  <c r="AR60" i="8"/>
  <c r="AQ60" i="8" s="1"/>
  <c r="AS60" i="8" s="1"/>
  <c r="AU60" i="8" s="1"/>
  <c r="AT60" i="8" s="1"/>
  <c r="AR33" i="8"/>
  <c r="AQ33" i="8" s="1"/>
  <c r="AS33" i="8" s="1"/>
  <c r="AU33" i="8" s="1"/>
  <c r="AG24" i="8"/>
  <c r="AG27" i="8"/>
  <c r="AR12" i="8"/>
  <c r="AQ12" i="8" s="1"/>
  <c r="AS12" i="8" s="1"/>
  <c r="AU12" i="8" s="1"/>
  <c r="AT12" i="8" s="1"/>
  <c r="AR26" i="8"/>
  <c r="AQ26" i="8" s="1"/>
  <c r="AS26" i="8" s="1"/>
  <c r="AU26" i="8" s="1"/>
  <c r="AT26" i="8" s="1"/>
  <c r="AG29" i="8"/>
  <c r="AT29" i="8" s="1"/>
  <c r="AR39" i="8"/>
  <c r="AQ39" i="8" s="1"/>
  <c r="AS39" i="8" s="1"/>
  <c r="AU39" i="8" s="1"/>
  <c r="AT39" i="8" s="1"/>
  <c r="AT25" i="8"/>
  <c r="AR40" i="8"/>
  <c r="AQ40" i="8" s="1"/>
  <c r="AS40" i="8" s="1"/>
  <c r="AU40" i="8" s="1"/>
  <c r="AT40" i="8" s="1"/>
  <c r="AR36" i="8"/>
  <c r="AQ36" i="8" s="1"/>
  <c r="AS36" i="8" s="1"/>
  <c r="AU36" i="8" s="1"/>
  <c r="AT36" i="8" s="1"/>
  <c r="AG20" i="8"/>
  <c r="AT24" i="8"/>
  <c r="AT16" i="8"/>
  <c r="AR27" i="8"/>
  <c r="AQ27" i="8" s="1"/>
  <c r="AS27" i="8" s="1"/>
  <c r="AU27" i="8" s="1"/>
  <c r="AR54" i="8"/>
  <c r="AQ54" i="8" s="1"/>
  <c r="AS54" i="8" s="1"/>
  <c r="AU54" i="8" s="1"/>
  <c r="AT54" i="8" s="1"/>
  <c r="AO22" i="8"/>
  <c r="AG22" i="8" s="1"/>
  <c r="AO34" i="8"/>
  <c r="AR34" i="8" s="1"/>
  <c r="AQ34" i="8" s="1"/>
  <c r="AS34" i="8" s="1"/>
  <c r="AU34" i="8" s="1"/>
  <c r="AR28" i="8"/>
  <c r="AQ28" i="8" s="1"/>
  <c r="AS28" i="8" s="1"/>
  <c r="AU28" i="8" s="1"/>
  <c r="AT28" i="8" s="1"/>
  <c r="AR66" i="8"/>
  <c r="AQ66" i="8" s="1"/>
  <c r="AS66" i="8" s="1"/>
  <c r="AU66" i="8" s="1"/>
  <c r="AT66" i="8" s="1"/>
  <c r="AO9" i="8"/>
  <c r="AR9" i="8" s="1"/>
  <c r="AQ9" i="8" s="1"/>
  <c r="AS9" i="8" s="1"/>
  <c r="AU9" i="8" s="1"/>
  <c r="AG9" i="8"/>
  <c r="AO31" i="8"/>
  <c r="AR31" i="8" s="1"/>
  <c r="AQ31" i="8" s="1"/>
  <c r="AS31" i="8" s="1"/>
  <c r="AU31" i="8" s="1"/>
  <c r="AG31" i="8"/>
  <c r="AG33" i="8"/>
  <c r="AG28" i="8"/>
  <c r="AR64" i="8"/>
  <c r="AQ64" i="8" s="1"/>
  <c r="AS64" i="8" s="1"/>
  <c r="AU64" i="8" s="1"/>
  <c r="AT64" i="8" s="1"/>
  <c r="AT58" i="8"/>
  <c r="AO10" i="8"/>
  <c r="AR10" i="8" s="1"/>
  <c r="AQ10" i="8" s="1"/>
  <c r="AS10" i="8" s="1"/>
  <c r="AU10" i="8" s="1"/>
  <c r="AR41" i="8"/>
  <c r="AQ41" i="8" s="1"/>
  <c r="AS41" i="8" s="1"/>
  <c r="AU41" i="8" s="1"/>
  <c r="AT41" i="8" s="1"/>
  <c r="AO55" i="8"/>
  <c r="AR55" i="8" s="1"/>
  <c r="AQ55" i="8" s="1"/>
  <c r="AS55" i="8" s="1"/>
  <c r="AU55" i="8" s="1"/>
  <c r="AO51" i="8"/>
  <c r="AR51" i="8" s="1"/>
  <c r="AQ51" i="8" s="1"/>
  <c r="AS51" i="8" s="1"/>
  <c r="AU51" i="8" s="1"/>
  <c r="AO23" i="8"/>
  <c r="AR23" i="8" s="1"/>
  <c r="AQ23" i="8" s="1"/>
  <c r="AS23" i="8" s="1"/>
  <c r="AU23" i="8" s="1"/>
  <c r="AT23" i="8" s="1"/>
  <c r="AO17" i="8"/>
  <c r="AR17" i="8" s="1"/>
  <c r="AQ17" i="8" s="1"/>
  <c r="AS17" i="8" s="1"/>
  <c r="AU17" i="8" s="1"/>
  <c r="AT17" i="8" s="1"/>
  <c r="AO14" i="8"/>
  <c r="AR14" i="8" s="1"/>
  <c r="AQ14" i="8" s="1"/>
  <c r="AS14" i="8" s="1"/>
  <c r="AU14" i="8" s="1"/>
  <c r="AT14" i="8" s="1"/>
  <c r="AO8" i="8"/>
  <c r="AR8" i="8" s="1"/>
  <c r="AQ8" i="8" s="1"/>
  <c r="AS8" i="8" s="1"/>
  <c r="AU8" i="8" s="1"/>
  <c r="AT8" i="8" s="1"/>
  <c r="V8" i="8" s="1"/>
  <c r="V8" i="16" s="1"/>
  <c r="AO65" i="16"/>
  <c r="AR65" i="16" s="1"/>
  <c r="AQ65" i="16" s="1"/>
  <c r="AS65" i="16" s="1"/>
  <c r="AU65" i="16" s="1"/>
  <c r="AT65" i="16" s="1"/>
  <c r="W65" i="16" s="1"/>
  <c r="AG65" i="16"/>
  <c r="AO63" i="16"/>
  <c r="AR63" i="16" s="1"/>
  <c r="AQ63" i="16" s="1"/>
  <c r="AS63" i="16" s="1"/>
  <c r="AU63" i="16" s="1"/>
  <c r="AT63" i="16" s="1"/>
  <c r="W63" i="16" s="1"/>
  <c r="AG63" i="16"/>
  <c r="AO59" i="16"/>
  <c r="AG59" i="16"/>
  <c r="AR59" i="16"/>
  <c r="AQ59" i="16" s="1"/>
  <c r="AS59" i="16" s="1"/>
  <c r="AU59" i="16" s="1"/>
  <c r="AT59" i="16" s="1"/>
  <c r="W59" i="16" s="1"/>
  <c r="AO57" i="16"/>
  <c r="AR57" i="16" s="1"/>
  <c r="AQ57" i="16" s="1"/>
  <c r="AS57" i="16" s="1"/>
  <c r="AU57" i="16" s="1"/>
  <c r="AT57" i="16" s="1"/>
  <c r="W57" i="16" s="1"/>
  <c r="AG57" i="16"/>
  <c r="AO56" i="16"/>
  <c r="AR56" i="16" s="1"/>
  <c r="AQ56" i="16" s="1"/>
  <c r="AS56" i="16" s="1"/>
  <c r="AU56" i="16" s="1"/>
  <c r="AT56" i="16" s="1"/>
  <c r="W56" i="16" s="1"/>
  <c r="AG56" i="16"/>
  <c r="AO30" i="16"/>
  <c r="AG30" i="16" s="1"/>
  <c r="AO53" i="16"/>
  <c r="AG53" i="16"/>
  <c r="AR53" i="16"/>
  <c r="AQ53" i="16" s="1"/>
  <c r="AS53" i="16" s="1"/>
  <c r="AU53" i="16" s="1"/>
  <c r="AT53" i="16" s="1"/>
  <c r="W53" i="16" s="1"/>
  <c r="AO50" i="16"/>
  <c r="AG50" i="16" s="1"/>
  <c r="AO49" i="16"/>
  <c r="AR49" i="16" s="1"/>
  <c r="AQ49" i="16" s="1"/>
  <c r="AS49" i="16" s="1"/>
  <c r="AU49" i="16" s="1"/>
  <c r="AT49" i="16" s="1"/>
  <c r="W49" i="16" s="1"/>
  <c r="AG49" i="16"/>
  <c r="AO44" i="16"/>
  <c r="AR44" i="16" s="1"/>
  <c r="AQ44" i="16" s="1"/>
  <c r="AS44" i="16" s="1"/>
  <c r="AU44" i="16" s="1"/>
  <c r="AO35" i="16"/>
  <c r="AG35" i="16" s="1"/>
  <c r="AO20" i="16"/>
  <c r="AG20" i="16" s="1"/>
  <c r="AO21" i="16"/>
  <c r="AR21" i="16" s="1"/>
  <c r="AQ21" i="16" s="1"/>
  <c r="AS21" i="16" s="1"/>
  <c r="AU21" i="16" s="1"/>
  <c r="AT21" i="16" s="1"/>
  <c r="W21" i="16" s="1"/>
  <c r="AG21" i="16"/>
  <c r="AO19" i="16"/>
  <c r="AG19" i="16" s="1"/>
  <c r="AR18" i="16"/>
  <c r="AQ18" i="16" s="1"/>
  <c r="AS18" i="16" s="1"/>
  <c r="AU18" i="16" s="1"/>
  <c r="AT18" i="16" s="1"/>
  <c r="W18" i="16" s="1"/>
  <c r="AO15" i="16"/>
  <c r="AG15" i="16"/>
  <c r="AR15" i="16"/>
  <c r="AQ15" i="16" s="1"/>
  <c r="AS15" i="16" s="1"/>
  <c r="AU15" i="16" s="1"/>
  <c r="AT15" i="16" s="1"/>
  <c r="W15" i="16" s="1"/>
  <c r="AO13" i="16"/>
  <c r="AG13" i="16" s="1"/>
  <c r="AO11" i="16"/>
  <c r="AG11" i="16" s="1"/>
  <c r="AO7" i="16"/>
  <c r="AG7" i="16" s="1"/>
  <c r="AO6" i="16"/>
  <c r="AG6" i="16" s="1"/>
  <c r="AR20" i="8"/>
  <c r="AQ20" i="8" s="1"/>
  <c r="AS20" i="8" s="1"/>
  <c r="AU20" i="8" s="1"/>
  <c r="AT20" i="8" s="1"/>
  <c r="V20" i="8" s="1"/>
  <c r="AO50" i="8"/>
  <c r="AR50" i="8" s="1"/>
  <c r="AQ50" i="8" s="1"/>
  <c r="AS50" i="8" s="1"/>
  <c r="AU50" i="8" s="1"/>
  <c r="AT50" i="8" s="1"/>
  <c r="V50" i="8" s="1"/>
  <c r="AG50" i="8"/>
  <c r="AO44" i="8"/>
  <c r="AG44" i="8" s="1"/>
  <c r="AO35" i="8"/>
  <c r="AG35" i="8" s="1"/>
  <c r="AO30" i="8"/>
  <c r="AR30" i="8" s="1"/>
  <c r="AQ30" i="8" s="1"/>
  <c r="AS30" i="8" s="1"/>
  <c r="AU30" i="8" s="1"/>
  <c r="AT30" i="8" s="1"/>
  <c r="AO13" i="8"/>
  <c r="AR13" i="8" s="1"/>
  <c r="AQ13" i="8" s="1"/>
  <c r="AS13" i="8" s="1"/>
  <c r="AU13" i="8" s="1"/>
  <c r="AT13" i="8" s="1"/>
  <c r="AO57" i="8"/>
  <c r="AG57" i="8" s="1"/>
  <c r="AO56" i="8"/>
  <c r="AG56" i="8" s="1"/>
  <c r="AO59" i="8"/>
  <c r="AG59" i="8" s="1"/>
  <c r="AO63" i="8"/>
  <c r="AG63" i="8" s="1"/>
  <c r="AO65" i="8"/>
  <c r="AR65" i="8" s="1"/>
  <c r="AQ65" i="8" s="1"/>
  <c r="AS65" i="8" s="1"/>
  <c r="AU65" i="8" s="1"/>
  <c r="AG65" i="8"/>
  <c r="AO49" i="8"/>
  <c r="AG49" i="8" s="1"/>
  <c r="AO53" i="8"/>
  <c r="AR53" i="8" s="1"/>
  <c r="AQ53" i="8" s="1"/>
  <c r="AS53" i="8" s="1"/>
  <c r="AU53" i="8" s="1"/>
  <c r="AG53" i="8"/>
  <c r="AO21" i="8"/>
  <c r="AR21" i="8" s="1"/>
  <c r="AQ21" i="8" s="1"/>
  <c r="AS21" i="8" s="1"/>
  <c r="AU21" i="8" s="1"/>
  <c r="AT21" i="8" s="1"/>
  <c r="V21" i="8" s="1"/>
  <c r="AO19" i="8"/>
  <c r="AR19" i="8" s="1"/>
  <c r="AQ19" i="8" s="1"/>
  <c r="AS19" i="8" s="1"/>
  <c r="AU19" i="8" s="1"/>
  <c r="AT19" i="8" s="1"/>
  <c r="AO18" i="8"/>
  <c r="AG18" i="8" s="1"/>
  <c r="AO15" i="8"/>
  <c r="AR15" i="8" s="1"/>
  <c r="AQ15" i="8" s="1"/>
  <c r="AS15" i="8" s="1"/>
  <c r="AU15" i="8" s="1"/>
  <c r="AT15" i="8" s="1"/>
  <c r="V15" i="8" s="1"/>
  <c r="AO11" i="8"/>
  <c r="AG11" i="8" s="1"/>
  <c r="AO7" i="8"/>
  <c r="AR7" i="8" s="1"/>
  <c r="AQ7" i="8" s="1"/>
  <c r="AS7" i="8" s="1"/>
  <c r="AU7" i="8" s="1"/>
  <c r="AT7" i="8" s="1"/>
  <c r="V7" i="8" s="1"/>
  <c r="V7" i="16" s="1"/>
  <c r="AO6" i="8"/>
  <c r="AG6" i="8" s="1"/>
  <c r="AR46" i="16"/>
  <c r="AQ46" i="16" s="1"/>
  <c r="AS46" i="16" s="1"/>
  <c r="AU46" i="16" s="1"/>
  <c r="AT46" i="16" s="1"/>
  <c r="AR32" i="16"/>
  <c r="AQ32" i="16" s="1"/>
  <c r="AS32" i="16" s="1"/>
  <c r="AU32" i="16" s="1"/>
  <c r="AT32" i="16" s="1"/>
  <c r="AR45" i="16"/>
  <c r="AQ45" i="16" s="1"/>
  <c r="AS45" i="16" s="1"/>
  <c r="AU45" i="16" s="1"/>
  <c r="AT45" i="16" s="1"/>
  <c r="AR62" i="8"/>
  <c r="AQ62" i="8" s="1"/>
  <c r="AS62" i="8" s="1"/>
  <c r="AU62" i="8" s="1"/>
  <c r="AT62" i="8" s="1"/>
  <c r="AR61" i="16"/>
  <c r="AQ61" i="16" s="1"/>
  <c r="AS61" i="16" s="1"/>
  <c r="AU61" i="16" s="1"/>
  <c r="AR63" i="8"/>
  <c r="AQ63" i="8" s="1"/>
  <c r="AS63" i="8" s="1"/>
  <c r="AU63" i="8" s="1"/>
  <c r="AR41" i="16"/>
  <c r="AQ41" i="16" s="1"/>
  <c r="AS41" i="16" s="1"/>
  <c r="AU41" i="16" s="1"/>
  <c r="AT41" i="16" s="1"/>
  <c r="AG66" i="16" l="1"/>
  <c r="AT61" i="16"/>
  <c r="W61" i="16" s="1"/>
  <c r="AG8" i="16"/>
  <c r="AR6" i="8"/>
  <c r="AQ6" i="8" s="1"/>
  <c r="AS6" i="8" s="1"/>
  <c r="AU6" i="8" s="1"/>
  <c r="AT6" i="8" s="1"/>
  <c r="AR59" i="8"/>
  <c r="AQ59" i="8" s="1"/>
  <c r="AS59" i="8" s="1"/>
  <c r="AU59" i="8" s="1"/>
  <c r="AT59" i="8" s="1"/>
  <c r="AR49" i="8"/>
  <c r="AQ49" i="8" s="1"/>
  <c r="AS49" i="8" s="1"/>
  <c r="AU49" i="8" s="1"/>
  <c r="AT49" i="8" s="1"/>
  <c r="V49" i="8" s="1"/>
  <c r="V49" i="16" s="1"/>
  <c r="AT63" i="8"/>
  <c r="AT27" i="8"/>
  <c r="AG30" i="8"/>
  <c r="AT65" i="8"/>
  <c r="V19" i="8"/>
  <c r="V15" i="16" s="1"/>
  <c r="V17" i="8"/>
  <c r="AR22" i="8"/>
  <c r="AQ22" i="8" s="1"/>
  <c r="AS22" i="8" s="1"/>
  <c r="AU22" i="8" s="1"/>
  <c r="AT22" i="8" s="1"/>
  <c r="AT53" i="8"/>
  <c r="V53" i="8" s="1"/>
  <c r="V53" i="16" s="1"/>
  <c r="AT33" i="8"/>
  <c r="AG34" i="8"/>
  <c r="AT34" i="8" s="1"/>
  <c r="V63" i="8"/>
  <c r="V63" i="16" s="1"/>
  <c r="AG10" i="8"/>
  <c r="AT10" i="8" s="1"/>
  <c r="V13" i="8" s="1"/>
  <c r="AG55" i="8"/>
  <c r="AT55" i="8" s="1"/>
  <c r="V55" i="8" s="1"/>
  <c r="V27" i="16" s="1"/>
  <c r="AT31" i="8"/>
  <c r="V59" i="8" s="1"/>
  <c r="V31" i="16" s="1"/>
  <c r="AT9" i="8"/>
  <c r="AG51" i="8"/>
  <c r="AT51" i="8" s="1"/>
  <c r="V51" i="8" s="1"/>
  <c r="V30" i="8"/>
  <c r="AG14" i="8"/>
  <c r="V17" i="16"/>
  <c r="V50" i="16"/>
  <c r="V24" i="16"/>
  <c r="AG23" i="8"/>
  <c r="V12" i="16"/>
  <c r="AG13" i="8"/>
  <c r="V58" i="8"/>
  <c r="V58" i="16" s="1"/>
  <c r="V26" i="16"/>
  <c r="V36" i="8"/>
  <c r="V36" i="16" s="1"/>
  <c r="V16" i="16"/>
  <c r="V61" i="16"/>
  <c r="V32" i="16"/>
  <c r="AG17" i="8"/>
  <c r="AG15" i="8"/>
  <c r="AG8" i="8"/>
  <c r="AR30" i="16"/>
  <c r="AQ30" i="16" s="1"/>
  <c r="AS30" i="16" s="1"/>
  <c r="AU30" i="16" s="1"/>
  <c r="AT30" i="16" s="1"/>
  <c r="W30" i="16" s="1"/>
  <c r="AR50" i="16"/>
  <c r="AQ50" i="16" s="1"/>
  <c r="AS50" i="16" s="1"/>
  <c r="AU50" i="16" s="1"/>
  <c r="AT50" i="16" s="1"/>
  <c r="W50" i="16" s="1"/>
  <c r="AG44" i="16"/>
  <c r="AT44" i="16" s="1"/>
  <c r="W44" i="16" s="1"/>
  <c r="AR35" i="16"/>
  <c r="AQ35" i="16" s="1"/>
  <c r="AS35" i="16" s="1"/>
  <c r="AU35" i="16" s="1"/>
  <c r="AT35" i="16" s="1"/>
  <c r="W35" i="16" s="1"/>
  <c r="AR20" i="16"/>
  <c r="AQ20" i="16" s="1"/>
  <c r="AS20" i="16" s="1"/>
  <c r="AU20" i="16" s="1"/>
  <c r="AT20" i="16" s="1"/>
  <c r="W20" i="16" s="1"/>
  <c r="AR19" i="16"/>
  <c r="AQ19" i="16" s="1"/>
  <c r="AS19" i="16" s="1"/>
  <c r="AU19" i="16" s="1"/>
  <c r="AT19" i="16" s="1"/>
  <c r="W19" i="16" s="1"/>
  <c r="AG19" i="8"/>
  <c r="AR18" i="8"/>
  <c r="AQ18" i="8" s="1"/>
  <c r="AS18" i="8" s="1"/>
  <c r="AU18" i="8" s="1"/>
  <c r="AT18" i="8" s="1"/>
  <c r="V18" i="8" s="1"/>
  <c r="AR13" i="16"/>
  <c r="AQ13" i="16" s="1"/>
  <c r="AS13" i="16" s="1"/>
  <c r="AU13" i="16" s="1"/>
  <c r="AT13" i="16" s="1"/>
  <c r="W13" i="16" s="1"/>
  <c r="AR11" i="16"/>
  <c r="AQ11" i="16" s="1"/>
  <c r="AS11" i="16" s="1"/>
  <c r="AU11" i="16" s="1"/>
  <c r="AT11" i="16" s="1"/>
  <c r="W11" i="16" s="1"/>
  <c r="AR7" i="16"/>
  <c r="AQ7" i="16" s="1"/>
  <c r="AS7" i="16" s="1"/>
  <c r="AU7" i="16" s="1"/>
  <c r="AT7" i="16" s="1"/>
  <c r="W7" i="16" s="1"/>
  <c r="AR6" i="16"/>
  <c r="AQ6" i="16" s="1"/>
  <c r="AS6" i="16" s="1"/>
  <c r="AU6" i="16" s="1"/>
  <c r="AT6" i="16" s="1"/>
  <c r="W6" i="16" s="1"/>
  <c r="AR44" i="8"/>
  <c r="AQ44" i="8" s="1"/>
  <c r="AS44" i="8" s="1"/>
  <c r="AU44" i="8" s="1"/>
  <c r="AT44" i="8" s="1"/>
  <c r="AR35" i="8"/>
  <c r="AQ35" i="8" s="1"/>
  <c r="AS35" i="8" s="1"/>
  <c r="AU35" i="8" s="1"/>
  <c r="AT35" i="8" s="1"/>
  <c r="V35" i="8" s="1"/>
  <c r="V20" i="16" s="1"/>
  <c r="AR57" i="8"/>
  <c r="AQ57" i="8" s="1"/>
  <c r="AS57" i="8" s="1"/>
  <c r="AU57" i="8" s="1"/>
  <c r="AT57" i="8" s="1"/>
  <c r="V57" i="8" s="1"/>
  <c r="AR56" i="8"/>
  <c r="AQ56" i="8" s="1"/>
  <c r="AS56" i="8" s="1"/>
  <c r="AU56" i="8" s="1"/>
  <c r="AT56" i="8" s="1"/>
  <c r="V56" i="8" s="1"/>
  <c r="AG21" i="8"/>
  <c r="AR11" i="8"/>
  <c r="AQ11" i="8" s="1"/>
  <c r="AS11" i="8" s="1"/>
  <c r="AU11" i="8" s="1"/>
  <c r="AT11" i="8" s="1"/>
  <c r="V11" i="8" s="1"/>
  <c r="AG7" i="8"/>
  <c r="V6" i="20"/>
  <c r="V6" i="16"/>
  <c r="V10" i="16" l="1"/>
  <c r="V13" i="16"/>
  <c r="V19" i="16"/>
  <c r="V59" i="16"/>
  <c r="V55" i="16"/>
  <c r="V51" i="16"/>
  <c r="V25" i="16"/>
  <c r="V33" i="16"/>
  <c r="V21" i="16"/>
  <c r="V44" i="8"/>
  <c r="V22" i="16" s="1"/>
  <c r="V65" i="8"/>
  <c r="V9" i="16"/>
  <c r="V56" i="16"/>
  <c r="V28" i="16"/>
  <c r="V30" i="16"/>
  <c r="V14" i="8"/>
  <c r="V14" i="16" s="1"/>
  <c r="V23" i="8"/>
  <c r="V23" i="16" s="1"/>
  <c r="V57" i="16"/>
  <c r="V29" i="16"/>
  <c r="V66" i="8"/>
  <c r="V66" i="16" s="1"/>
  <c r="V44" i="16" l="1"/>
  <c r="V34" i="16"/>
  <c r="V65" i="16"/>
  <c r="V18" i="16"/>
  <c r="V35" i="16"/>
  <c r="V11" i="16"/>
</calcChain>
</file>

<file path=xl/sharedStrings.xml><?xml version="1.0" encoding="utf-8"?>
<sst xmlns="http://schemas.openxmlformats.org/spreadsheetml/2006/main" count="5841" uniqueCount="505">
  <si>
    <t>Description</t>
  </si>
  <si>
    <t>ID</t>
  </si>
  <si>
    <t>High</t>
  </si>
  <si>
    <t>Low</t>
  </si>
  <si>
    <t>Access Vector</t>
  </si>
  <si>
    <t>Access Complexity</t>
  </si>
  <si>
    <t>Authentication</t>
  </si>
  <si>
    <t>Confidentiality Impact</t>
  </si>
  <si>
    <t>Integrity Impact</t>
  </si>
  <si>
    <t>Availability Impact</t>
  </si>
  <si>
    <t>Collateral Damage Potential</t>
  </si>
  <si>
    <t>Medium</t>
  </si>
  <si>
    <t>Local</t>
  </si>
  <si>
    <t>Adjacent Network</t>
  </si>
  <si>
    <t>Network</t>
  </si>
  <si>
    <t>None</t>
  </si>
  <si>
    <t>Partial</t>
  </si>
  <si>
    <t>Complete</t>
  </si>
  <si>
    <t>There is no impact to the confidentiality of the system.</t>
  </si>
  <si>
    <t>There is total information disclosure, resulting in all data (including executable) being revealed. The attacker is able to read all of the system's data (volatile or non-volatile memory, data streams, external communications, etc.)</t>
  </si>
  <si>
    <t>There is no impact to the availability of the system.</t>
  </si>
  <si>
    <t>There is reduced performance or interruptions in resource availability. Reduced throughput or increased latency in responding to an event.
An example is a network-based flood attack that permits a limited number of successful connections to an Internet service.</t>
  </si>
  <si>
    <t>There is no potential for loss of life, physical assets, productivity or revenue.</t>
  </si>
  <si>
    <t>User</t>
  </si>
  <si>
    <t>Automatic</t>
  </si>
  <si>
    <t>Exploit cannot be detected by the user or the device</t>
  </si>
  <si>
    <t>Exploit is detectable by the user and the device</t>
  </si>
  <si>
    <t>fImpact</t>
  </si>
  <si>
    <t>Impact</t>
  </si>
  <si>
    <t>Name</t>
  </si>
  <si>
    <t>Justification</t>
  </si>
  <si>
    <t>Category</t>
  </si>
  <si>
    <t>No</t>
  </si>
  <si>
    <t>Yes</t>
  </si>
  <si>
    <t>I</t>
  </si>
  <si>
    <t>A</t>
  </si>
  <si>
    <t>Interaction</t>
  </si>
  <si>
    <t>Project Name</t>
  </si>
  <si>
    <t>Is this a medical device</t>
  </si>
  <si>
    <t>Medical Device classification</t>
  </si>
  <si>
    <t>Project Confidentially Requirement</t>
  </si>
  <si>
    <t>Project Integrity Requirement</t>
  </si>
  <si>
    <t>Project Availability Requirement</t>
  </si>
  <si>
    <t>Scoring Threshold Value</t>
  </si>
  <si>
    <t>Weight</t>
  </si>
  <si>
    <t>Undefined</t>
  </si>
  <si>
    <t>A vulnerability exploitable with only local access requires the attacker to be in physical contact with the device. Examples of locally exploitable vulnerabilities are USB ports, Serial ports, JTAG debugging ports, etc.</t>
  </si>
  <si>
    <r>
      <t xml:space="preserve">A vulnerability exploitable with </t>
    </r>
    <r>
      <rPr>
        <i/>
        <sz val="8"/>
        <rFont val="Arial"/>
        <family val="2"/>
      </rPr>
      <t>adjacent network access</t>
    </r>
    <r>
      <rPr>
        <sz val="8"/>
        <rFont val="Arial"/>
        <family val="2"/>
      </rPr>
      <t xml:space="preserve"> requires the attacker to have access to either the broadcast or collision domain of the vulnerable software.  Examples of local networks include local IP subnet, Bluetooth, IEEE 802.11, local Ethernet segment and low power radio communications, with maximum range measured in hundreds of feet.</t>
    </r>
  </si>
  <si>
    <t>A vulnerability exploitable with network access means the vulnerable software is accessible via a network stack and the attacker does not require local network access or local access. Such a vulnerability is often termed “remotely exploitable”.  Wide area wireless networks (i.e. “cellular radio”) and broadcast radios would also be included in this category.</t>
  </si>
  <si>
    <t>Specialized access conditions exist. For example:
• The attack depends on the victim performing several suspicious or atypical actions.
• The vulnerable configuration is seen very rarely in practice.
• The vulnerability depends on narrow time window
• Requires specialized or expensive tools to exploit the vulnerability</t>
  </si>
  <si>
    <t>The access conditions are somewhat specialized; the following are examples:
• The attacking party is limited to a group of systems or users at some level of Authorization, possibly untrusted.
• Some information must be gathered before a successful attack can be launched.
• The affected configuration is non-default, and is not commonly configured 
• The attack requires a small amount of social engineering that might occasionally fool cautious users.
• Requires insider knowledge of the device’s hardware of software design</t>
  </si>
  <si>
    <t>Specialized access conditions or extenuating circumstances do not exist. The following are examples: 
• The affected product typically requires access to a wide range of systems and users, possibly anonymous and untrusted.
• The affected configuration is default or ubiquitous.
• The attack can be performed manually and requires little skill or additional information gathering.
• The “race condition” is a lazy one (i.e., it is technically a race but easily winnable).
• Distributed system gives attacker all the tools and/or knowledge to exploit the vulnerability</t>
  </si>
  <si>
    <t>Authentication is not required to exploit the vulnerability.</t>
  </si>
  <si>
    <t>Single Instance</t>
  </si>
  <si>
    <t>Authentication is easily defeated or uses a weak method for vetting.</t>
  </si>
  <si>
    <t>Multiple Instances</t>
  </si>
  <si>
    <t>Authentication employs industry’s best practices for vetting the authenticity of the user or device</t>
  </si>
  <si>
    <t>There is considerable informational disclosure. Access to some data (including executable) is possible, but the attacker does not have control over what is obtained, or the scope is constrained. An example is a vulnerability that divulges only certain fields of data.</t>
  </si>
  <si>
    <t>There is no impact to the integrity of the system.</t>
  </si>
  <si>
    <t>Modification of some data (including executable) is possible, but the attacker does not have control over what can be modified, or the scope of what the attacker can affect is limited. 
For example, executable image may be overwritten but not read.</t>
  </si>
  <si>
    <t>There is a total compromise of system integrity. There is a complete loss of system protection, resulting in the entire system being compromised. 
The attacker is able to modify any data (including executable) on the target system.</t>
  </si>
  <si>
    <t>There is a total shutdown of the targeted device, rendering the device’s principal functionality non-operational.
The attacker can render the resource completely unavailable.</t>
  </si>
  <si>
    <t>A successful exploit of this vulnerability may result in slight physical or property damage. 
Or, there may be a slight loss of revenue or productivity.</t>
  </si>
  <si>
    <t>Low Medium</t>
  </si>
  <si>
    <t>A successful exploit of this vulnerability may result in moderate physical or property damage. 
Or, there may be a moderate loss of revenue or productivity.</t>
  </si>
  <si>
    <t>Medium High</t>
  </si>
  <si>
    <t>A successful exploit of this vulnerability may result in significant physical or property damage. 
Or, there may be a significant loss of revenue or productivity.</t>
  </si>
  <si>
    <t>A successful exploit of this vulnerability may result in catastrophic physical or property destruction. 
Or, there may be a catastrophic loss of revenue or productivity.</t>
  </si>
  <si>
    <t>Exploit is detectable by the device</t>
  </si>
  <si>
    <t>Exploit is detectable by the user</t>
  </si>
  <si>
    <t>Expanded View</t>
  </si>
  <si>
    <t>Class III</t>
  </si>
  <si>
    <t>Impacts Safety and Efficacy</t>
  </si>
  <si>
    <t>Does not impact safety and efficacy</t>
  </si>
  <si>
    <t>Does impact safety and efficacy</t>
  </si>
  <si>
    <t>Potential Vulnerabilities</t>
  </si>
  <si>
    <t>AV</t>
  </si>
  <si>
    <t>AC</t>
  </si>
  <si>
    <t>Au</t>
  </si>
  <si>
    <t>C</t>
  </si>
  <si>
    <t>Base</t>
  </si>
  <si>
    <t>CDP</t>
  </si>
  <si>
    <t>TD</t>
  </si>
  <si>
    <t>CR</t>
  </si>
  <si>
    <t>IR</t>
  </si>
  <si>
    <t>AR</t>
  </si>
  <si>
    <t>Exploitability Score</t>
  </si>
  <si>
    <t>Adj Impact</t>
  </si>
  <si>
    <t>Adj Temporal</t>
  </si>
  <si>
    <t>Adj Base</t>
  </si>
  <si>
    <t>Environmental</t>
  </si>
  <si>
    <t>Overall</t>
  </si>
  <si>
    <t>Aware</t>
  </si>
  <si>
    <t>Not Defined</t>
  </si>
  <si>
    <t>Loss of confidentiality is likely to have only a limited adverse effect on the organization or users of the device.</t>
  </si>
  <si>
    <t>Loss of confidentiality is likely to have a serious adverse effect on the organization or users of the device</t>
  </si>
  <si>
    <t>Loss of confidentiality is likely to have a catastrophic adverse effect on the organization or users of the device</t>
  </si>
  <si>
    <t>Loss of integrity is likely to have only a limited adverse effect on the organization or users of the device.</t>
  </si>
  <si>
    <t>Loss of integrity is likely to have a serious adverse effect on the organization or users of the device</t>
  </si>
  <si>
    <t>Loss of  integrity is likely to have a catastrophic adverse effect on the organization or users of the device</t>
  </si>
  <si>
    <t>Loss of availability is likely to have only a limited adverse effect on the organization or users of the device.</t>
  </si>
  <si>
    <t>Loss of availability is likely to have a serious adverse effect on the organization or users of the device</t>
  </si>
  <si>
    <t>Loss of availability is likely to have a catastrophic adverse effect on the organization or users of the device</t>
  </si>
  <si>
    <t>Confidtiality Requirement</t>
  </si>
  <si>
    <t>Integrity Requirement</t>
  </si>
  <si>
    <t>Availability Requirement</t>
  </si>
  <si>
    <t>Incomplete</t>
  </si>
  <si>
    <t>Incomplete, please enter this value</t>
  </si>
  <si>
    <t>Manual Index</t>
  </si>
  <si>
    <t>Potential Safety &amp; Efficacy</t>
  </si>
  <si>
    <t>Notes</t>
  </si>
  <si>
    <t>Awareness (deprecated)</t>
  </si>
  <si>
    <t>Recommended Controls</t>
  </si>
  <si>
    <t>Cybersecurity Traceability Matrix</t>
  </si>
  <si>
    <t>STRIDE Category</t>
  </si>
  <si>
    <t>Importing Threat Model CSV File.
Please Wait…</t>
  </si>
  <si>
    <t>Safety &amp; Efficacy</t>
  </si>
  <si>
    <t>Access
Vector</t>
  </si>
  <si>
    <t>Justification &amp; Potential Remediation</t>
  </si>
  <si>
    <t>Final Design Details</t>
  </si>
  <si>
    <t>Pre-Mitigated Score</t>
  </si>
  <si>
    <t>Post-Mitigated Score</t>
  </si>
  <si>
    <t>Pre-Mitigated CVSS Scoring</t>
  </si>
  <si>
    <t>Post-Mitigated CVSS Scoring</t>
  </si>
  <si>
    <t>Exploitability Metrics</t>
  </si>
  <si>
    <t>Impact Metrics</t>
  </si>
  <si>
    <t>Severity</t>
  </si>
  <si>
    <t>Company Name Product Name</t>
  </si>
  <si>
    <t>Implemented Mitigations</t>
  </si>
  <si>
    <t>Id</t>
  </si>
  <si>
    <t>Title</t>
  </si>
  <si>
    <t>Diagram</t>
  </si>
  <si>
    <t>Priority</t>
  </si>
  <si>
    <t>State</t>
  </si>
  <si>
    <t>Changed By</t>
  </si>
  <si>
    <t>Last Modified</t>
  </si>
  <si>
    <t>Possible Mitigation(s)</t>
  </si>
  <si>
    <t>Velentium Vulnerability ID</t>
  </si>
  <si>
    <t>Related CWEs</t>
  </si>
  <si>
    <t>Source</t>
  </si>
  <si>
    <t>Target</t>
  </si>
  <si>
    <t>Source User: Command and Control Authorization Level</t>
  </si>
  <si>
    <t>Source User: Therapy Delivery Information Authorization Level</t>
  </si>
  <si>
    <t>Source User: Access to PII or PHI Authorization Level</t>
  </si>
  <si>
    <t>Target User: Command and Control Authorization Level</t>
  </si>
  <si>
    <t>Target User: Therapy Delivery Information Authorization Level</t>
  </si>
  <si>
    <t>Target User: Access to PII or PHI Authorization Level</t>
  </si>
  <si>
    <t>Source Process: Delivers Therapy</t>
  </si>
  <si>
    <t>Source Process: Processes Alarms and Alerts</t>
  </si>
  <si>
    <t>Source Process: Updateable</t>
  </si>
  <si>
    <t>Source Process: Embedded Component Selection</t>
  </si>
  <si>
    <t>Source Process: Hardware Security Module Component Selection</t>
  </si>
  <si>
    <t>Source Process: Mobile Platform OS</t>
  </si>
  <si>
    <t>Source Process: Mobile Platform Provided to User</t>
  </si>
  <si>
    <t>Source Process: Desktop Platform OS</t>
  </si>
  <si>
    <t>Source Process: Desktop Platform Provided to User</t>
  </si>
  <si>
    <t>Source Process: Server Hosting Premise</t>
  </si>
  <si>
    <t>Target Process: Delivers Therapy</t>
  </si>
  <si>
    <t>Target Process: Processes Alarms and Alerts</t>
  </si>
  <si>
    <t>Target Process: Updateable</t>
  </si>
  <si>
    <t>Target Process: Embedded Component Selection</t>
  </si>
  <si>
    <t>Target Process: Hardware Security Module Component Selection</t>
  </si>
  <si>
    <t>Target Process: Mobile Platform OS</t>
  </si>
  <si>
    <t>Target Process: Mobile Platform Provided to User</t>
  </si>
  <si>
    <t>Target Process: Desktop Platform OS</t>
  </si>
  <si>
    <t>Target Process: Desktop Platform Provided to User</t>
  </si>
  <si>
    <t>Target Process: Server Hosting Premise</t>
  </si>
  <si>
    <t>Source Data Store: Stores Intellectual Property</t>
  </si>
  <si>
    <t>Source Data Store: Stores Executables</t>
  </si>
  <si>
    <t>Source Data Store: Stores Credentials or Keys</t>
  </si>
  <si>
    <t>Source Data Store: Stores PII or PHI</t>
  </si>
  <si>
    <t>Source Data Store: Stores Logs</t>
  </si>
  <si>
    <t>Source Data Store: Device Memory Type</t>
  </si>
  <si>
    <t>Source Data Store: Device Memory Removable</t>
  </si>
  <si>
    <t>Source Data Store: RAM Type</t>
  </si>
  <si>
    <t>Target Data Store: Stores Intellectual Property</t>
  </si>
  <si>
    <t>Target Data Store: Stores Executables</t>
  </si>
  <si>
    <t>Target Data Store: Stores Credentials or Keys</t>
  </si>
  <si>
    <t>Target Data Store: Stores PII or PHI</t>
  </si>
  <si>
    <t>Target Data Store: Stores Logs</t>
  </si>
  <si>
    <t>Target Data Store: Device Memory Type</t>
  </si>
  <si>
    <t>Target Data Store: Device Memory Removable</t>
  </si>
  <si>
    <t>Target Data Store: RAM Type</t>
  </si>
  <si>
    <t>Data Flow: Communication Type</t>
  </si>
  <si>
    <t>Data Flow: Communication Medium</t>
  </si>
  <si>
    <t>Data Flow: Access Vector</t>
  </si>
  <si>
    <t>Data Flow: Protocol Basis</t>
  </si>
  <si>
    <t>Data Flow: Firmware Update Path</t>
  </si>
  <si>
    <t>Data Flow: Contains Commands</t>
  </si>
  <si>
    <t>Data Flow: Contains Notifications or Alarms or Alerts</t>
  </si>
  <si>
    <t>Data Flow: Contains Intellectual Property</t>
  </si>
  <si>
    <t>Data Flow: Contains Credentials or Keys</t>
  </si>
  <si>
    <t>Data Flow: Contains PII or PHI</t>
  </si>
  <si>
    <t>Data Flow: Contains Logs</t>
  </si>
  <si>
    <t>Data Flow: Maximum Time Delay</t>
  </si>
  <si>
    <t>Data Flow: Embedded Communication Protocol</t>
  </si>
  <si>
    <t>Spoofed Human Actor, User</t>
  </si>
  <si>
    <t>Spoofing</t>
  </si>
  <si>
    <t>Diagram 1</t>
  </si>
  <si>
    <t>User Input to App</t>
  </si>
  <si>
    <t>Not Started</t>
  </si>
  <si>
    <t>An adversary replaces the intended user, User, as the person controlling and interacting with the device, and the adversary can therefore perform the same operations as the intended user.</t>
  </si>
  <si>
    <t>Generated</t>
  </si>
  <si>
    <t>Authenticate the user at the start of every session appropriately per their role and authorization levels before allowing critical operations to be performed. Define the length of a session and appropriately manage user sessions.</t>
  </si>
  <si>
    <t>[DESIGN-S-03]</t>
  </si>
  <si>
    <t>[CWE-287] [CWE-521]</t>
  </si>
  <si>
    <t>User Application</t>
  </si>
  <si>
    <t>{target.9707134c-9117-4f66-a6e2-b6e3c833f277}</t>
  </si>
  <si>
    <t>{target.f5ebbb16-b57b-4444-9310-4d593a2e3e2e}</t>
  </si>
  <si>
    <t>{target.f129d553-8b9d-4aef-bb68-ed282635a8dd}</t>
  </si>
  <si>
    <t>{source.39d71774-f9a8-461a-8ac7-8c237657ebf7}</t>
  </si>
  <si>
    <t>{source.7449f615-5f57-4014-b9dc-978ffe8151fa}</t>
  </si>
  <si>
    <t>{source.f909223e-a23d-474d-bde9-7b6d0cb25872}</t>
  </si>
  <si>
    <t>{source.8fa859dd-0621-4125-86ca-3661d7c46c8e}</t>
  </si>
  <si>
    <t>{source.57af979d-48f0-452e-8226-63f56697a520}</t>
  </si>
  <si>
    <t>{source.5149f9bb-04f1-4d6f-8473-42889094d6e9}</t>
  </si>
  <si>
    <t>{source.34ac7009-b5f9-4ae0-89cc-016ca6e17f50}</t>
  </si>
  <si>
    <t>{source.602e0c0a-2eeb-4af0-9e50-f280f8b76e0f}</t>
  </si>
  <si>
    <t>{source.47d8b897-d028-483b-a64e-13b8aa0e176a}</t>
  </si>
  <si>
    <t>{source.d88c0889-2f8f-4e55-9304-3e7091b631cd}</t>
  </si>
  <si>
    <t>{target.8fa859dd-0621-4125-86ca-3661d7c46c8e}</t>
  </si>
  <si>
    <t>{target.57af979d-48f0-452e-8226-63f56697a520}</t>
  </si>
  <si>
    <t>{target.5149f9bb-04f1-4d6f-8473-42889094d6e9}</t>
  </si>
  <si>
    <t>{target.34ac7009-b5f9-4ae0-89cc-016ca6e17f50}</t>
  </si>
  <si>
    <t>Linux Desktop</t>
  </si>
  <si>
    <t>{target.d88c0889-2f8f-4e55-9304-3e7091b631cd}</t>
  </si>
  <si>
    <t>{source.677416fb-d70a-4f74-b1cf-f2432078ea84}</t>
  </si>
  <si>
    <t>{source.4656e647-0899-4444-b18a-da8df0f3ec70}</t>
  </si>
  <si>
    <t>{source.3065bc3b-0bbb-417a-b5e7-0f66c95e7deb}</t>
  </si>
  <si>
    <t>{source.eac95ea1-c79f-4aa0-9c27-7206252d8109}</t>
  </si>
  <si>
    <t>{source.dbe6242a-e570-4495-8432-a539fe5f477b}</t>
  </si>
  <si>
    <t>{source.18b242c6-76e7-446f-a177-cfac93207566}</t>
  </si>
  <si>
    <t>{source.b5f81c60-5b07-49d9-9606-4d43a74624ca}</t>
  </si>
  <si>
    <t>{source.0341640a-03ac-4ce8-bfa1-f9332e830172}</t>
  </si>
  <si>
    <t>{target.677416fb-d70a-4f74-b1cf-f2432078ea84}</t>
  </si>
  <si>
    <t>{target.4656e647-0899-4444-b18a-da8df0f3ec70}</t>
  </si>
  <si>
    <t>{target.3065bc3b-0bbb-417a-b5e7-0f66c95e7deb}</t>
  </si>
  <si>
    <t>{target.eac95ea1-c79f-4aa0-9c27-7206252d8109}</t>
  </si>
  <si>
    <t>{target.dbe6242a-e570-4495-8432-a539fe5f477b}</t>
  </si>
  <si>
    <t>{target.18b242c6-76e7-446f-a177-cfac93207566}</t>
  </si>
  <si>
    <t>{target.b5f81c60-5b07-49d9-9606-4d43a74624ca}</t>
  </si>
  <si>
    <t>{target.0341640a-03ac-4ce8-bfa1-f9332e830172}</t>
  </si>
  <si>
    <t>Human to Machine</t>
  </si>
  <si>
    <t>User Interaction</t>
  </si>
  <si>
    <t>Local or Physical</t>
  </si>
  <si>
    <t>Not Applicable</t>
  </si>
  <si>
    <t>{flow.1c81c0a6-6ce4-43d6-9428-8e48c8e9d7c9}</t>
  </si>
  <si>
    <t>Inject Malicious Executable Code or Input into User Application</t>
  </si>
  <si>
    <t>Tampering</t>
  </si>
  <si>
    <t>An adversary can inject specific software into the application, User Application, or its host platform, to be executed on the host platform to change device or application operation or to expose source code, keys and other sensitive information.</t>
  </si>
  <si>
    <t>Verify the integrity of the application upon execution and only allow authorized applications on controlled devices.</t>
  </si>
  <si>
    <t>[DESIGN-T-05]</t>
  </si>
  <si>
    <t>[CWE-506]</t>
  </si>
  <si>
    <t>Actor Denies Unauthorized System Access or Modification on User Application</t>
  </si>
  <si>
    <t>Repudiation</t>
  </si>
  <si>
    <t>A safety or security event may occur, such as an adversary accessing or altering data saved in memory, stored respositories or devices, such as User Application, in an unauthorized manner; and the system may fail to capture a means of detecting or verifying the actions that were attempted or performed. An authorized or unauthorized user could deny actions they make.</t>
  </si>
  <si>
    <t>Ensure all users and components are authenticated and then authorized to perform the actions they are attempting to perform. Capture logs of these actions in an unalterable and verifiable manner, either through cryptographic hashing or platform-specific secure logging mechanisms. For firmware and custom applications, a cryptographic hash chain is recommended to protect both the content and the order of log entries. For cloud platforms, it is recommended to enable, maintain and utilize security event logging, security event log validation/auditing and access logging on the hosting platform.</t>
  </si>
  <si>
    <t>[DESIGN-R-01]</t>
  </si>
  <si>
    <t>[CWE-222] [CWE-223] [CWE-224] [CWE-532] [CWE-1210]</t>
  </si>
  <si>
    <t>Weak Credential Storage and Management on User Application</t>
  </si>
  <si>
    <t>Information Disclosure</t>
  </si>
  <si>
    <t>Credentials and security secrets that are not properly stored and managed can often be exposed or modified, allowing further unauthorized actions to be performed by adversaries or unauthorized actors.</t>
  </si>
  <si>
    <t>For server side, consider storing a salted hash of the credentials instead of storing the credentials themselves. If this is not possible due to business requirements, be sure to encrypt the credentials before storage, using an SDL-approved mechanism. For client side, if storing credentials is required, encrypt them and protect the data store in which they're stored. Utilize platform-specific secure key and credential storage mechanisms, where applicable.</t>
  </si>
  <si>
    <t>[DESIGN-I-12]</t>
  </si>
  <si>
    <t>[CWE-522] [CWE-523]</t>
  </si>
  <si>
    <t>Excessive or Uncontrolled Resource Consumption by User Application</t>
  </si>
  <si>
    <t>Denial of Service</t>
  </si>
  <si>
    <t>Resource consumption attacks can be hard to deal with, and there are times that it makes sense to let the operating system/CPU do the job. Be careful that your resource requests do not deadlock or timeout. Does User Application take explicit steps to control resource consumption?</t>
  </si>
  <si>
    <t>Design throttling mechanisms into the system architecture. The best protection is to limit the amount of resources that an unauthorized user can cause to be expended. A strong authentication and access control model will help prevent such attacks from occurring in the first place. The login application should be protected against DoS attacks as much as possible. Limiting the database access, perhaps by caching result sets, can help minimize the resources expended. To further limit the potential for a DoS attack, consider tracking the rate of requests received from users and blocking requests that exceed a defined rate threshold. Ensure that all failures in resource allocation place the system into a safe posture.</t>
  </si>
  <si>
    <t>[DESIGN-D-01]</t>
  </si>
  <si>
    <t>[CWE-400] [CWE-405] [CWE-1320]</t>
  </si>
  <si>
    <t>Unnecessary and Unused Privileged Features or Services</t>
  </si>
  <si>
    <t>Elevation of Privileges</t>
  </si>
  <si>
    <t>An adversary may utilize unused features or privileged services on User Application, such as the user interface, USB and other ports, manufacturing features, platform features like camera, microphone or location services, etc. Unused features increase the attack surface and serve as additional entry points for the adversary.</t>
  </si>
  <si>
    <t>Harden the device to decrease the attack surface. Ensure that only the minimum services and features are enabled on devices. This is inclusive of disabling any manufacturing related functionality and removing unneccessary applications or functionality.</t>
  </si>
  <si>
    <t>[DESIGN-E-03]</t>
  </si>
  <si>
    <t>[CWE-489] [CWE-912] [CWE-1125]</t>
  </si>
  <si>
    <t>Weak Authentication and/or Authorization Schema</t>
  </si>
  <si>
    <t>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t>
  </si>
  <si>
    <t>Consider the impact and potential mitigations for your custom authentication scheme. Ensure that you perform access control checks related to your business logic. These checks may be different than the access control checks that you apply to more generic resources such as files, connections, processes, memory, and database records. For example, a database may restrict access for medical records to a specific database user, but each record might only be intended to be accessible to the patient and the patient's doctor. When possible, rely on the access control capabilities of your operating system and server environment and define your access control lists accordingly. Use a default deny policy when defining these ACLs.</t>
  </si>
  <si>
    <t>[DESIGN-E-04]</t>
  </si>
  <si>
    <t>[CWE-269] [CWE-271] [CWE-282] [CWE-284] [CWE-285] [CWE-286] [CWE-732] [CWE-862] [CWE-863] [CWE-1211] [CWE-1390]</t>
  </si>
  <si>
    <t>Misrepresentation of Critical Information on User Interface</t>
  </si>
  <si>
    <t>User Output from App</t>
  </si>
  <si>
    <t>An adversary can cause the User Interface on User Application to misrepresent information to the user, which can influence the user to perform erroneous actions or fail to notify the user with important information.</t>
  </si>
  <si>
    <t>Design and implement the use of output encoding and inout validation in the system. Output Encoding: Create a strategy for presenting information, and plan for how to display unusual characters. Input Validation: Perform data validation (e.g. syntax, length, etc.) before interpreting the data.</t>
  </si>
  <si>
    <t>[DESIGN-T-08]</t>
  </si>
  <si>
    <t>[CWE-446] [CWE-451]</t>
  </si>
  <si>
    <t>{source.9707134c-9117-4f66-a6e2-b6e3c833f277}</t>
  </si>
  <si>
    <t>{source.f5ebbb16-b57b-4444-9310-4d593a2e3e2e}</t>
  </si>
  <si>
    <t>{source.f129d553-8b9d-4aef-bb68-ed282635a8dd}</t>
  </si>
  <si>
    <t>{target.39d71774-f9a8-461a-8ac7-8c237657ebf7}</t>
  </si>
  <si>
    <t>{target.7449f615-5f57-4014-b9dc-978ffe8151fa}</t>
  </si>
  <si>
    <t>{target.f909223e-a23d-474d-bde9-7b6d0cb25872}</t>
  </si>
  <si>
    <t>{target.602e0c0a-2eeb-4af0-9e50-f280f8b76e0f}</t>
  </si>
  <si>
    <t>{target.47d8b897-d028-483b-a64e-13b8aa0e176a}</t>
  </si>
  <si>
    <t>Machine to Human</t>
  </si>
  <si>
    <t>Tampering with Communicated Data on Embedded Communication in to ZigBee</t>
  </si>
  <si>
    <t>Embedded Communication in to ZigBee</t>
  </si>
  <si>
    <t>An adversary may tamper with communicated data on Embedded Communication in to ZigBee, and if data are not properly verified for integrity prior to accepting or acting upon the data, then the system may behave in an unintended manner.</t>
  </si>
  <si>
    <t>Ensure that the communications are verified for integrity via nonkeyed hashes (i.e., SHA-2, SHA-3), keyed hashes (e.g., HMAC, CMAC, AES-GCM*), or similar digital signatures. CRCs can be used in conjunction with hashes and other signatures, but are only to be used for natural error checking; CRCs are not cryptographically-significant/cryptographically-strong in nature and are not sufficient for integrity checking.</t>
  </si>
  <si>
    <t>[DESIGN-T-10]</t>
  </si>
  <si>
    <t>[CWE-20] [CWE-353] [CWE-354] [CWE-360] [CWE-649] [CWE-924]</t>
  </si>
  <si>
    <t>Adversary</t>
  </si>
  <si>
    <t xml:space="preserve">Lock Zigbee Module </t>
  </si>
  <si>
    <t>Select Hardware Component</t>
  </si>
  <si>
    <t>Machine to Machine</t>
  </si>
  <si>
    <t>Wired</t>
  </si>
  <si>
    <t>Standardized</t>
  </si>
  <si>
    <t>SPI</t>
  </si>
  <si>
    <t xml:space="preserve">Inject Malicious Executable Code into Program Space on Lock Zigbee Module </t>
  </si>
  <si>
    <t>An adversary can inject specific software into program space on Lock Zigbee Module  to be executed on the device to modify or corrupt the device's performance or to expose security secrets, the firmware image or other sensitive information.</t>
  </si>
  <si>
    <t>Integrity check program space; disable debugging ports such as JTAG and SWD.</t>
  </si>
  <si>
    <t>[DESIGN-T-04]</t>
  </si>
  <si>
    <t>[CWE-506] [CWE-1207]</t>
  </si>
  <si>
    <t>Embedded Communication out from ZigBee</t>
  </si>
  <si>
    <t>Interuption or Corruption of Data on Embedded Communication out from ZigBee</t>
  </si>
  <si>
    <t>An external agent interrupts or corrupts data flowing on Embedded Communication out from ZigBee, denying the availability of the communicated data.</t>
  </si>
  <si>
    <t>Inform user of interruption in services and / or functionality</t>
  </si>
  <si>
    <t>[DESIGN-D-04]</t>
  </si>
  <si>
    <t>[CWE-417] [CWE-417] [CWE-1320]</t>
  </si>
  <si>
    <t>Sniffing Communications from Lock Zigbee Module  on Embedded Communication out from ZigBee</t>
  </si>
  <si>
    <t>An adversary can gain access to sensitive data in an unauthorized manner by sniffing communications on Embedded Communication out from ZigBee due to a lack of data confidentiality protections.</t>
  </si>
  <si>
    <t>Ensure that the communications do not expose or contain sensitive data or that the communications and data are encrypted.</t>
  </si>
  <si>
    <t>[DESIGN-I-08]</t>
  </si>
  <si>
    <t>[CWE-200] [CWE-311]</t>
  </si>
  <si>
    <t>Tampering with Communicated Data on Embedded Communication out from ZigBee</t>
  </si>
  <si>
    <t>An adversary may tamper with communicated data on Embedded Communication out from ZigBee, and if data are not properly verified for integrity prior to accepting or acting upon the data, then the system may behave in an unintended manner.</t>
  </si>
  <si>
    <t xml:space="preserve">Spoofed Communication on Embedded Communication out from ZigBee or Spoofed Device Lock Zigbee Module </t>
  </si>
  <si>
    <t>The wired or wireless connection, Embedded Communication out from ZigBee, is replaced with an adversary's spoofed implementation, or Lock Zigbee Module , the source of data communicated over Embedded Communication out from ZigBee, is not properly authenticated and verified.</t>
  </si>
  <si>
    <t>Perform authentication across all communications to ensure that the identify of the source of data is properly verified before accepting the data.</t>
  </si>
  <si>
    <t>[DESIGN-S-01]</t>
  </si>
  <si>
    <t>USB in to Zigbee</t>
  </si>
  <si>
    <t xml:space="preserve">User Device Zigbee Module </t>
  </si>
  <si>
    <t>An adversary may utilize unused features or privileged services on User Device Zigbee Module , such as the user interface, USB and other ports, manufacturing features, platform features like camera, microphone or location services, etc. Unused features increase the attack surface and serve as additional entry points for the adversary.</t>
  </si>
  <si>
    <t>Interuption or Corruption of Data on USB in to Zigbee</t>
  </si>
  <si>
    <t>An external agent interrupts or corrupts data flowing on USB in to Zigbee, denying the availability of the communicated data.</t>
  </si>
  <si>
    <t xml:space="preserve">Excessive or Uncontrolled Resource Consumption by User Device Zigbee Module </t>
  </si>
  <si>
    <t>Resource consumption attacks can be hard to deal with, and there are times that it makes sense to let the operating system/CPU do the job. Be careful that your resource requests do not deadlock or timeout. Does User Device Zigbee Module  take explicit steps to control resource consumption?</t>
  </si>
  <si>
    <t>Sniffing Communications from User Application on USB in to Zigbee</t>
  </si>
  <si>
    <t>An adversary can gain access to sensitive data in an unauthorized manner by sniffing communications on USB in to Zigbee due to a lack of data confidentiality protections.</t>
  </si>
  <si>
    <t>Tampering with Communicated Data on USB in to Zigbee</t>
  </si>
  <si>
    <t>An adversary may tamper with communicated data on USB in to Zigbee, and if data are not properly verified for integrity prior to accepting or acting upon the data, then the system may behave in an unintended manner.</t>
  </si>
  <si>
    <t>Spoofed Communication on USB in to Zigbee or Spoofed Device User Application</t>
  </si>
  <si>
    <t>The wired or wireless connection, USB in to Zigbee, is replaced with an adversary's spoofed implementation, or User Application, the source of data communicated over USB in to Zigbee, is not properly authenticated and verified.</t>
  </si>
  <si>
    <t>USB out from Zigbee</t>
  </si>
  <si>
    <t>Interuption or Corruption of Data on USB out from Zigbee</t>
  </si>
  <si>
    <t>An external agent interrupts or corrupts data flowing on USB out from Zigbee, denying the availability of the communicated data.</t>
  </si>
  <si>
    <t>Sniffing Communications from User Device Zigbee Module  on USB out from Zigbee</t>
  </si>
  <si>
    <t>An adversary can gain access to sensitive data in an unauthorized manner by sniffing communications on USB out from Zigbee due to a lack of data confidentiality protections.</t>
  </si>
  <si>
    <t>Tampering with Communicated Data on USB out from Zigbee</t>
  </si>
  <si>
    <t>An adversary may tamper with communicated data on USB out from Zigbee, and if data are not properly verified for integrity prior to accepting or acting upon the data, then the system may behave in an unintended manner.</t>
  </si>
  <si>
    <t xml:space="preserve">Spoofed Communication on USB out from Zigbee or Spoofed Device User Device Zigbee Module </t>
  </si>
  <si>
    <t>The wired or wireless connection, USB out from Zigbee, is replaced with an adversary's spoofed implementation, or User Device Zigbee Module , the source of data communicated over USB out from Zigbee, is not properly authenticated and verified.</t>
  </si>
  <si>
    <t xml:space="preserve">Spoofed Communication on ZigBee in to ZigBee or Spoofed Device User Device Zigbee Module </t>
  </si>
  <si>
    <t>ZigBee in to ZigBee</t>
  </si>
  <si>
    <t>The wired or wireless connection, ZigBee in to ZigBee, is replaced with an adversary's spoofed implementation, or User Device Zigbee Module , the source of data communicated over ZigBee in to ZigBee, is not properly authenticated and verified.</t>
  </si>
  <si>
    <t xml:space="preserve">Zigbee Module </t>
  </si>
  <si>
    <t>Wireless</t>
  </si>
  <si>
    <t>Personal Area Network</t>
  </si>
  <si>
    <t>Tampering with Communicated Data on ZigBee in to ZigBee</t>
  </si>
  <si>
    <t>An adversary may tamper with communicated data on ZigBee in to ZigBee, and if data are not properly verified for integrity prior to accepting or acting upon the data, then the system may behave in an unintended manner.</t>
  </si>
  <si>
    <t>Sniffing Network Traffic from User Device Zigbee Module  on ZigBee in to ZigBee</t>
  </si>
  <si>
    <t>An adversary or unauthorized third-party can gain access to sensitive data in an unauthorized manner by sniffing or intercepting network traffic on ZigBee in to ZigBee from User Device Zigbee Module  as it is being communicated to Lock Zigbee Module  due to a lack of data confidentiality protections.</t>
  </si>
  <si>
    <t>Implement encryption and other controls, such as authentication and access control, for web- or network-based traffic. Consider certificate or public key pinning, where applicable, to avoid intercepting proxies from being able to decrypt HTTPS traffic.</t>
  </si>
  <si>
    <t>[DESIGN-I-09]</t>
  </si>
  <si>
    <t>Interference or Jamming of Wireless Connections on ZigBee in to ZigBee</t>
  </si>
  <si>
    <t xml:space="preserve">Medical components connecting via any form of wireless networking, such as ZigBee in to ZigBee, must consider radio frequency interference or jamming scenarios. Components with urgent usage scenarios should consider providing a back-up wired option to avoid scenarios involving wireless jamming. </t>
  </si>
  <si>
    <t>Alert the user that communications are disrupted.</t>
  </si>
  <si>
    <t>[DESIGN-D-03]</t>
  </si>
  <si>
    <t>[CWE-355] [CWE-417] [CWE-417] [CWE-1320]</t>
  </si>
  <si>
    <t xml:space="preserve">Spoofed Communication on ZigBee out from ZigBee or Spoofed Device Lock Zigbee Module </t>
  </si>
  <si>
    <t>ZigBee out from ZigBee</t>
  </si>
  <si>
    <t>The wired or wireless connection, ZigBee out from ZigBee, is replaced with an adversary's spoofed implementation, or Lock Zigbee Module , the source of data communicated over ZigBee out from ZigBee, is not properly authenticated and verified.</t>
  </si>
  <si>
    <t>Tampering with Communicated Data on ZigBee out from ZigBee</t>
  </si>
  <si>
    <t>An adversary may tamper with communicated data on ZigBee out from ZigBee, and if data are not properly verified for integrity prior to accepting or acting upon the data, then the system may behave in an unintended manner.</t>
  </si>
  <si>
    <t>Sniffing Network Traffic from Lock Zigbee Module  on ZigBee out from ZigBee</t>
  </si>
  <si>
    <t>An adversary or unauthorized third-party can gain access to sensitive data in an unauthorized manner by sniffing or intercepting network traffic on ZigBee out from ZigBee from Lock Zigbee Module  as it is being communicated to User Device Zigbee Module  due to a lack of data confidentiality protections.</t>
  </si>
  <si>
    <t>Interference or Jamming of Wireless Connections on ZigBee out from ZigBee</t>
  </si>
  <si>
    <t xml:space="preserve">Medical components connecting via any form of wireless networking, such as ZigBee out from ZigBee, must consider radio frequency interference or jamming scenarios. Components with urgent usage scenarios should consider providing a back-up wired option to avoid scenarios involving wireless jamming. </t>
  </si>
  <si>
    <t xml:space="preserve">Excessive or Uncontrolled Resource Consumption by Lock Zigbee Module </t>
  </si>
  <si>
    <t>Resource consumption attacks can be hard to deal with, and there are times that it makes sense to let the operating system/CPU do the job. Be careful that your resource requests do not deadlock or timeout. Does Lock Zigbee Module  take explicit steps to control resource consumption?</t>
  </si>
  <si>
    <t>An adversary may utilize unused features or privileged services on Lock Zigbee Module , such as the user interface, USB and other ports, manufacturing features, platform features like camera, microphone or location services, etc. Unused features increase the attack surface and serve as additional entry points for the adversary.</t>
  </si>
  <si>
    <t>Lock Output out to User</t>
  </si>
  <si>
    <t>An adversary can cause the User Interface on Lock to misrepresent information to the user, which can influence the user to perform erroneous actions or fail to notify the user with important information.</t>
  </si>
  <si>
    <t>Lock</t>
  </si>
  <si>
    <t>Interuption or Corruption of Data on USB in to Lock</t>
  </si>
  <si>
    <t>USB in to Lock</t>
  </si>
  <si>
    <t>An external agent interrupts or corrupts data flowing on USB in to Lock, denying the availability of the communicated data.</t>
  </si>
  <si>
    <t>Sniffing Communications from Lock Zigbee Module  on USB in to Lock</t>
  </si>
  <si>
    <t>An adversary can gain access to sensitive data in an unauthorized manner by sniffing communications on USB in to Lock due to a lack of data confidentiality protections.</t>
  </si>
  <si>
    <t>Tampering with Communicated Data on USB in to Lock</t>
  </si>
  <si>
    <t>An adversary may tamper with communicated data on USB in to Lock, and if data are not properly verified for integrity prior to accepting or acting upon the data, then the system may behave in an unintended manner.</t>
  </si>
  <si>
    <t xml:space="preserve">Spoofed Communication on USB in to Lock or Spoofed Device Lock Zigbee Module </t>
  </si>
  <si>
    <t>The wired or wireless connection, USB in to Lock, is replaced with an adversary's spoofed implementation, or Lock Zigbee Module , the source of data communicated over USB in to Lock, is not properly authenticated and verified.</t>
  </si>
  <si>
    <t>User Input in to Lock</t>
  </si>
  <si>
    <t>Interuption or Corruption of Data on USB out from Lock</t>
  </si>
  <si>
    <t>USB out from Lock</t>
  </si>
  <si>
    <t>An external agent interrupts or corrupts data flowing on USB out from Lock, denying the availability of the communicated data.</t>
  </si>
  <si>
    <t>Sniffing Communications from Lock on USB out from Lock</t>
  </si>
  <si>
    <t>An adversary can gain access to sensitive data in an unauthorized manner by sniffing communications on USB out from Lock due to a lack of data confidentiality protections.</t>
  </si>
  <si>
    <t>Tampering with Communicated Data on USB out from Lock</t>
  </si>
  <si>
    <t>An adversary may tamper with communicated data on USB out from Lock, and if data are not properly verified for integrity prior to accepting or acting upon the data, then the system may behave in an unintended manner.</t>
  </si>
  <si>
    <t>Spoofed Communication on USB out from Lock or Spoofed Device Lock</t>
  </si>
  <si>
    <t>The wired or wireless connection, USB out from Lock, is replaced with an adversary's spoofed implementation, or Lock, the source of data communicated over USB out from Lock, is not properly authenticated and verified.</t>
  </si>
  <si>
    <t>An adversary may utilize unused features or privileged services on Lock, such as the user interface, USB and other ports, manufacturing features, platform features like camera, microphone or location services, etc. Unused features increase the attack surface and serve as additional entry points for the adversary.</t>
  </si>
  <si>
    <t>Excessive or Uncontrolled Resource Consumption by Lock</t>
  </si>
  <si>
    <t>Resource consumption attacks can be hard to deal with, and there are times that it makes sense to let the operating system/CPU do the job. Be careful that your resource requests do not deadlock or timeout. Does Lock take explicit steps to control resource consumption?</t>
  </si>
  <si>
    <t>Actor Denies Unauthorized System Access or Modification on Lock</t>
  </si>
  <si>
    <t>A safety or security event may occur, such as an adversary accessing or altering data saved in memory, stored respositories or devices, such as Lock, in an unauthorized manner; and the system may fail to capture a means of detecting or verifying the actions that were attempted or performed. An authorized or unauthorized user could deny actions they make.</t>
  </si>
  <si>
    <t>Interuption or Corruption of Data on Embedded Communication in to ZigBee</t>
  </si>
  <si>
    <t>An external agent interrupts or corrupts data flowing on Embedded Communication in to ZigBee, denying the availability of the communicated data.</t>
  </si>
  <si>
    <t>Sniffing Communications from Adversary on Embedded Communication in to ZigBee</t>
  </si>
  <si>
    <t>An adversary can gain access to sensitive data in an unauthorized manner by sniffing communications on Embedded Communication in to ZigBee due to a lack of data confidentiality protections.</t>
  </si>
  <si>
    <t>User Input to App - Spoofing</t>
  </si>
  <si>
    <t>User Input to App - Tampering</t>
  </si>
  <si>
    <t>User Input to App - Repudiation</t>
  </si>
  <si>
    <t>User Input to App - Information Disclosure</t>
  </si>
  <si>
    <t>User Input to App - Denial of Service</t>
  </si>
  <si>
    <t>User Input to App - Elevation of Privileges</t>
  </si>
  <si>
    <t>User Output from App - Tampering</t>
  </si>
  <si>
    <t>ZigBee in to ZigBee - Spoofing</t>
  </si>
  <si>
    <t>ZigBee in to ZigBee - Tampering</t>
  </si>
  <si>
    <t>ZigBee in to ZigBee - Information Disclosure</t>
  </si>
  <si>
    <t>ZigBee in to ZigBee - Denial of Service</t>
  </si>
  <si>
    <t>ZigBee out from ZigBee - Spoofing</t>
  </si>
  <si>
    <t>ZigBee out from ZigBee - Tampering</t>
  </si>
  <si>
    <t>ZigBee out from ZigBee - Information Disclosure</t>
  </si>
  <si>
    <t>ZigBee out from ZigBee - Denial of Service</t>
  </si>
  <si>
    <t>ZigBee in to ZigBee - Elevation of Privileges</t>
  </si>
  <si>
    <t>ZigBee out from ZigBee - Elevation of Privileges</t>
  </si>
  <si>
    <t>USB out from Lock - Spoofing</t>
  </si>
  <si>
    <t>USB out from Lock - Tampering</t>
  </si>
  <si>
    <t>USB out from Lock - Information Disclosure</t>
  </si>
  <si>
    <t>USB out from Lock - Denial of Service</t>
  </si>
  <si>
    <t>USB in to Lock - Spoofing</t>
  </si>
  <si>
    <t>USB in to Lock - Tampering</t>
  </si>
  <si>
    <t>USB in to Lock - Information Disclosure</t>
  </si>
  <si>
    <t>USB in to Lock - Denial of Service</t>
  </si>
  <si>
    <t>USB out from Zigbee - Spoofing</t>
  </si>
  <si>
    <t>USB out from Zigbee - Tampering</t>
  </si>
  <si>
    <t>USB out from Zigbee - Information Disclosure</t>
  </si>
  <si>
    <t>USB out from Zigbee - Denial of Service</t>
  </si>
  <si>
    <t>USB out from Zigbee - Elevation of Privileges</t>
  </si>
  <si>
    <t>USB in to Zigbee - Spoofing</t>
  </si>
  <si>
    <t>USB in to Zigbee - Tampering</t>
  </si>
  <si>
    <t>USB in to Zigbee - Information Disclosure</t>
  </si>
  <si>
    <t>USB in to Zigbee - Denial of Service</t>
  </si>
  <si>
    <t>USB in to Zigbee - Elevation of Privileges</t>
  </si>
  <si>
    <t>User Input in to Lock - Spoofing</t>
  </si>
  <si>
    <t>User Input in to Lock - Repudiation</t>
  </si>
  <si>
    <t>User Input in to Lock - Denial of Service</t>
  </si>
  <si>
    <t>User Input in to Lock - Elevation of Privileges</t>
  </si>
  <si>
    <t>Embedded Communication out from ZigBee - Spoofing</t>
  </si>
  <si>
    <t>Embedded Communication out from ZigBee - Tampering</t>
  </si>
  <si>
    <t>Embedded Communication out from ZigBee - Information Disclosure</t>
  </si>
  <si>
    <t>Embedded Communication out from ZigBee - Denial of Service</t>
  </si>
  <si>
    <t>Embedded Communication out from ZigBee - Elevation of Privileges</t>
  </si>
  <si>
    <t>Embedded Communication in to ZigBee - Tampering</t>
  </si>
  <si>
    <t>Embedded Communication in to ZigBee - Information Disclosure</t>
  </si>
  <si>
    <t>Embedded Communication in to ZigBee - Denial of Service</t>
  </si>
  <si>
    <t>Embedded Communication in to ZigBee - Elevation of Privileges</t>
  </si>
  <si>
    <t>Lock Output out to User - Tampering</t>
  </si>
  <si>
    <t>Getting to understand the working of app algo</t>
  </si>
  <si>
    <t>User can acess the device if they know the device unlock password</t>
  </si>
  <si>
    <t>Having secure authentication methods and encryption of data transmission mitigates the vulnerablility</t>
  </si>
  <si>
    <t>By implementing Authrntication and Authorization</t>
  </si>
  <si>
    <t>Disable all access to other feature access to the user app. Along with this the encrytion and authentication implemented serves the purpose</t>
  </si>
  <si>
    <t>Limit the scope of the system to only receive the code from the Lock module. Usage of digital signatues can help in identifying the non-intended information</t>
  </si>
  <si>
    <t>Implementing digital signature and encrytption method would mitigate this issue</t>
  </si>
  <si>
    <t>If the signatures are not verified, then the system would not take any action on the info received</t>
  </si>
  <si>
    <t>Having physical security and monitoring system in place to make sure that Jamming is avoided</t>
  </si>
  <si>
    <t>Since the zigbee communication is short range, this can be monitored</t>
  </si>
  <si>
    <t>Implementing encrytption method would mitigate this issue. Can also consider to have certificates and publick key cryptography</t>
  </si>
  <si>
    <t>Having physical security and monitoring system should not give a chance for this to happen.</t>
  </si>
  <si>
    <t xml:space="preserve">Implementing encrytption method would mitigate this issue. </t>
  </si>
  <si>
    <t>Since this is an inbuild module, this shouldn't really happen</t>
  </si>
  <si>
    <t>Since this is an inbuild module, this shouldn't really happen. It's kind of false positive</t>
  </si>
  <si>
    <t xml:space="preserve">By implementing Authrntication and Authorization. </t>
  </si>
  <si>
    <t>Example, before entering the code, the user needs to be verifed by finger prints</t>
  </si>
  <si>
    <t>One method can be disabling over the air updates for the lock module. This way only by physically accessing the Lock, something can be altered. 
Implementation of Authentication and Authorization will also prevent the repudiation</t>
  </si>
  <si>
    <t>If something in lock module is hampered, it affects the functionality which is mainly availibility</t>
  </si>
  <si>
    <t>Strong Implementation of Authentication and Authorization will prevent this. Implemetation of something like finger print scanning for authentication can be done</t>
  </si>
  <si>
    <t>Implement encryption and secure the module physically</t>
  </si>
  <si>
    <t>Since this is inbulid in the module, the scope to exploit this vulnerabilty is less</t>
  </si>
  <si>
    <t>Implemenation of authentication and authorization along with securing the product physically would mitigate this issue.</t>
  </si>
  <si>
    <t>Physically secure the product. Do not expose any debugging ports on the physical device</t>
  </si>
  <si>
    <t>Do not expose any debugging ports on the physical device.
Strong Implemenation of authentication and authorization along with securing the product physically would mitigate this issue.</t>
  </si>
  <si>
    <t>Collateral Damage Potential is Low Medium, because this vulnerability compromises the interface to the user app which is a key component.</t>
  </si>
  <si>
    <t>Collateral Damage Potential is Low Medium, because this vulnerability interfers with a key communication path.</t>
  </si>
  <si>
    <t>Collateral Damage Potential is Low, because this vulnerability could cause the lock system to be unavailable for a period of time, but does not compromise what the lock is securing.</t>
  </si>
  <si>
    <t>Collateral Damage Potential is Low, because this vulnerability could allow access to the ZigBee module which does not store critical data.</t>
  </si>
  <si>
    <t>Collateral Damage Potential is Low, because this vulnerability could cause the lock to run out of battery, but otherwise does not compromise what the locking is keeping secure.</t>
  </si>
  <si>
    <t>Collateral Damage Potential is Low Medium, because this vulnerability compromises the data be transmitted by the ZigBee module which includes the lock code.</t>
  </si>
  <si>
    <t>Collateral Damage Potential is Low , because this vulnerability compromises the ZigBee module, but not necessarily the lock.</t>
  </si>
  <si>
    <t>false positive; this connection is an adversary trying to compromise our system so we don't need to "protect" that from sniffing</t>
  </si>
  <si>
    <t>Collateral Damage Potential is Meium High, because this vulnerability compromises the lock itslef which is the whole point of the system.</t>
  </si>
  <si>
    <t>Two factor user authentication with secure password reset mechanism to prevent an advisary from locking a user out of their own account. Logging with time stamps and hash signature for integrity of the logs.Encryption and cryptographic signing of firmware to protect the firmware IP and ensure its integrity.</t>
  </si>
  <si>
    <t>The mitigations applied to #3 also mitigate this vulnerability. Additional mitigation applied to only allow access from authorized devices.</t>
  </si>
  <si>
    <t>It is very difficult to mitigate against DoS but we can notify the user of a disruption. Because our device is not critical to human health it is acceptable to not mitigate this to 4 or less and implementation of a back up communications method is not necessary.</t>
  </si>
  <si>
    <t>Harden device to disable all unused services and interfaces to reduce attack surface. Mitigations from #3 and #29 further help to mitigate what an adversary can do if they do manage to gain access.</t>
  </si>
  <si>
    <t>Mitigations for #3 and #29 also mitigate this vulnerability.</t>
  </si>
  <si>
    <t>Implement resource throttling and "fail safe" mechanisms so that if excessive utliization is detected the device goes inactive for a period of time, e.g. 5. min, but stays locked to prevent unauthorized access.</t>
  </si>
  <si>
    <t>The mitigations implemented for #3 and #29 also mitigate this vulnerability.</t>
  </si>
  <si>
    <t>Implement input validation to prevent accepting invalid inputs. Protect critical information, e.g. lock code, with encryption to prevent tapering/modification of the radomly generated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</si>
</sst>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24" x14ac:knownFonts="1">
    <font>
      <sz val="10"/>
      <name val="Arial"/>
    </font>
    <font>
      <b/>
      <sz val="10"/>
      <name val="Arial"/>
      <family val="2"/>
    </font>
    <font>
      <sz val="10"/>
      <name val="Arial"/>
      <family val="2"/>
    </font>
    <font>
      <i/>
      <sz val="10"/>
      <name val="Arial"/>
      <family val="2"/>
    </font>
    <font>
      <sz val="10"/>
      <color rgb="FFFF0000"/>
      <name val="Arial"/>
      <family val="2"/>
    </font>
    <font>
      <b/>
      <sz val="16"/>
      <color theme="0"/>
      <name val="Arial"/>
      <family val="2"/>
    </font>
    <font>
      <b/>
      <sz val="10"/>
      <color theme="0"/>
      <name val="Arial"/>
      <family val="2"/>
    </font>
    <font>
      <b/>
      <sz val="14"/>
      <color theme="0"/>
      <name val="Arial"/>
      <family val="2"/>
    </font>
    <font>
      <b/>
      <u/>
      <sz val="10"/>
      <name val="Arial"/>
      <family val="2"/>
    </font>
    <font>
      <sz val="8"/>
      <name val="Arial"/>
      <family val="2"/>
    </font>
    <font>
      <i/>
      <sz val="8"/>
      <name val="Arial"/>
      <family val="2"/>
    </font>
    <font>
      <b/>
      <sz val="11"/>
      <color theme="1"/>
      <name val="Calibri"/>
      <family val="2"/>
      <scheme val="minor"/>
    </font>
    <font>
      <b/>
      <sz val="8"/>
      <name val="Arial"/>
      <family val="2"/>
    </font>
    <font>
      <b/>
      <sz val="20"/>
      <name val="Arial"/>
      <family val="2"/>
    </font>
    <font>
      <b/>
      <sz val="18"/>
      <color theme="0"/>
      <name val="Arial"/>
      <family val="2"/>
    </font>
    <font>
      <b/>
      <sz val="20"/>
      <color rgb="FF00B050"/>
      <name val="Arial"/>
      <family val="2"/>
    </font>
    <font>
      <b/>
      <sz val="14"/>
      <color rgb="FF00B050"/>
      <name val="Arial"/>
      <family val="2"/>
    </font>
    <font>
      <b/>
      <sz val="36"/>
      <color rgb="FFC00000"/>
      <name val="Arial"/>
      <family val="2"/>
    </font>
    <font>
      <b/>
      <sz val="28"/>
      <name val="Arial"/>
      <family val="2"/>
    </font>
    <font>
      <b/>
      <sz val="28"/>
      <color theme="1" tint="0.249977111117893"/>
      <name val="Arial"/>
      <family val="2"/>
    </font>
    <font>
      <b/>
      <sz val="9"/>
      <color theme="0"/>
      <name val="Arial"/>
      <family val="2"/>
    </font>
    <font>
      <sz val="9"/>
      <name val="Arial"/>
      <family val="2"/>
    </font>
    <font>
      <b/>
      <sz val="11"/>
      <color theme="0"/>
      <name val="Arial"/>
      <family val="2"/>
    </font>
    <font>
      <b/>
      <sz val="20"/>
      <color rgb="FFFF0000"/>
      <name val="Arial"/>
      <family val="2"/>
    </font>
  </fonts>
  <fills count="13">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8FF9F"/>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5"/>
        <bgColor indexed="64"/>
      </patternFill>
    </fill>
    <fill>
      <patternFill patternType="solid">
        <fgColor rgb="FF92D050"/>
        <bgColor indexed="64"/>
      </patternFill>
    </fill>
  </fills>
  <borders count="17">
    <border>
      <left/>
      <right/>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1">
    <xf numFmtId="0" fontId="0" fillId="0" borderId="0"/>
  </cellStyleXfs>
  <cellXfs count="95">
    <xf numFmtId="0" fontId="0" fillId="0" borderId="0" xfId="0"/>
    <xf numFmtId="0" fontId="0" fillId="0" borderId="0" xfId="0" applyAlignment="1">
      <alignment vertical="center"/>
    </xf>
    <xf numFmtId="0" fontId="0" fillId="0" borderId="0" xfId="0" applyAlignment="1">
      <alignment vertical="center" wrapText="1"/>
    </xf>
    <xf numFmtId="164" fontId="2" fillId="0" borderId="0" xfId="0" applyNumberFormat="1" applyFont="1"/>
    <xf numFmtId="164" fontId="0" fillId="0" borderId="0" xfId="0" applyNumberFormat="1"/>
    <xf numFmtId="0" fontId="2" fillId="0" borderId="0" xfId="0" applyFont="1"/>
    <xf numFmtId="164" fontId="8" fillId="0" borderId="0" xfId="0" applyNumberFormat="1" applyFont="1"/>
    <xf numFmtId="0" fontId="9" fillId="0" borderId="0" xfId="0" applyFont="1" applyAlignment="1">
      <alignment vertical="top" wrapText="1"/>
    </xf>
    <xf numFmtId="0" fontId="9" fillId="0" borderId="0" xfId="0" applyFont="1" applyAlignment="1">
      <alignment wrapText="1"/>
    </xf>
    <xf numFmtId="0" fontId="9" fillId="0" borderId="1" xfId="0" applyFont="1" applyBorder="1" applyAlignment="1">
      <alignment vertical="top" wrapText="1"/>
    </xf>
    <xf numFmtId="0" fontId="9" fillId="0" borderId="0" xfId="0" applyFont="1" applyAlignment="1">
      <alignment vertical="top"/>
    </xf>
    <xf numFmtId="0" fontId="7" fillId="0" borderId="0" xfId="0" applyFont="1" applyAlignment="1">
      <alignment horizontal="center" vertical="center"/>
    </xf>
    <xf numFmtId="0" fontId="0" fillId="0" borderId="0" xfId="0" applyAlignment="1">
      <alignment wrapText="1"/>
    </xf>
    <xf numFmtId="0" fontId="11" fillId="0" borderId="0" xfId="0" applyFont="1" applyAlignment="1">
      <alignment horizontal="right"/>
    </xf>
    <xf numFmtId="2" fontId="0" fillId="0" borderId="0" xfId="0" applyNumberFormat="1"/>
    <xf numFmtId="165" fontId="0" fillId="0" borderId="0" xfId="0" applyNumberFormat="1"/>
    <xf numFmtId="0" fontId="1" fillId="0" borderId="0" xfId="0" applyFont="1"/>
    <xf numFmtId="0" fontId="13" fillId="0" borderId="0" xfId="0" applyFont="1" applyAlignment="1">
      <alignment horizontal="center"/>
    </xf>
    <xf numFmtId="0" fontId="14" fillId="0" borderId="0" xfId="0" applyFont="1" applyAlignment="1">
      <alignment horizontal="center" vertical="center"/>
    </xf>
    <xf numFmtId="0" fontId="2" fillId="0" borderId="0" xfId="0" applyFont="1" applyAlignment="1">
      <alignment wrapText="1"/>
    </xf>
    <xf numFmtId="0" fontId="5" fillId="0" borderId="0" xfId="0" applyFon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11" fillId="0" borderId="0" xfId="0" applyFont="1" applyAlignment="1">
      <alignment horizontal="center" vertical="center"/>
    </xf>
    <xf numFmtId="0" fontId="1" fillId="0" borderId="0" xfId="0" applyFont="1" applyAlignment="1">
      <alignment horizontal="center" vertical="center"/>
    </xf>
    <xf numFmtId="0" fontId="0" fillId="0" borderId="0" xfId="0" quotePrefix="1" applyAlignment="1">
      <alignment horizontal="center" vertical="center"/>
    </xf>
    <xf numFmtId="0" fontId="3" fillId="7" borderId="4" xfId="0" applyFont="1" applyFill="1" applyBorder="1" applyAlignment="1">
      <alignment horizontal="left" vertical="center" wrapText="1"/>
    </xf>
    <xf numFmtId="0" fontId="2" fillId="3" borderId="4" xfId="0" applyFont="1" applyFill="1" applyBorder="1" applyAlignment="1">
      <alignment horizontal="center" vertical="center" wrapText="1"/>
    </xf>
    <xf numFmtId="165" fontId="1" fillId="0" borderId="4" xfId="0" applyNumberFormat="1" applyFont="1" applyBorder="1" applyAlignment="1">
      <alignment horizontal="center" vertical="center"/>
    </xf>
    <xf numFmtId="0" fontId="3" fillId="7" borderId="5" xfId="0" applyFont="1" applyFill="1" applyBorder="1" applyAlignment="1">
      <alignment horizontal="left" vertical="center" wrapText="1"/>
    </xf>
    <xf numFmtId="0" fontId="1" fillId="0" borderId="4" xfId="0" applyFont="1" applyBorder="1" applyAlignment="1">
      <alignment horizontal="center" vertical="center"/>
    </xf>
    <xf numFmtId="0" fontId="0" fillId="3" borderId="4" xfId="0" applyFill="1" applyBorder="1" applyAlignment="1">
      <alignment horizontal="center" vertical="center" wrapText="1"/>
    </xf>
    <xf numFmtId="0" fontId="2" fillId="0" borderId="0" xfId="0" applyFont="1" applyAlignment="1">
      <alignment horizontal="center"/>
    </xf>
    <xf numFmtId="0" fontId="13" fillId="0" borderId="0" xfId="0" applyFont="1" applyAlignment="1">
      <alignment horizontal="center" wrapText="1"/>
    </xf>
    <xf numFmtId="165" fontId="2" fillId="0" borderId="4" xfId="0" applyNumberFormat="1" applyFont="1" applyBorder="1" applyAlignment="1">
      <alignment horizontal="center" vertical="center" wrapText="1"/>
    </xf>
    <xf numFmtId="0" fontId="11"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3" fillId="7" borderId="4" xfId="0" applyFont="1" applyFill="1" applyBorder="1" applyAlignment="1">
      <alignment horizontal="center" vertical="center" wrapText="1"/>
    </xf>
    <xf numFmtId="0" fontId="3" fillId="7" borderId="5" xfId="0" applyFont="1" applyFill="1" applyBorder="1" applyAlignment="1">
      <alignment horizontal="center" vertical="center" wrapText="1"/>
    </xf>
    <xf numFmtId="165" fontId="2" fillId="0" borderId="0" xfId="0" applyNumberFormat="1" applyFont="1" applyAlignment="1">
      <alignment horizontal="center" vertical="center" wrapText="1"/>
    </xf>
    <xf numFmtId="0" fontId="6" fillId="2" borderId="4" xfId="0" applyFont="1" applyFill="1" applyBorder="1" applyAlignment="1">
      <alignment horizontal="center" vertical="center" wrapText="1"/>
    </xf>
    <xf numFmtId="0" fontId="2" fillId="7" borderId="4" xfId="0" applyFont="1" applyFill="1" applyBorder="1" applyAlignment="1">
      <alignment horizontal="center" vertical="center" wrapText="1"/>
    </xf>
    <xf numFmtId="0" fontId="17" fillId="9" borderId="0" xfId="0" applyFont="1" applyFill="1" applyAlignment="1">
      <alignment vertical="center" wrapText="1"/>
    </xf>
    <xf numFmtId="0" fontId="17" fillId="9" borderId="0" xfId="0" applyFont="1" applyFill="1" applyAlignment="1">
      <alignment vertical="center"/>
    </xf>
    <xf numFmtId="0" fontId="0" fillId="9" borderId="0" xfId="0" applyFill="1"/>
    <xf numFmtId="0" fontId="18" fillId="9" borderId="0" xfId="0" applyFont="1" applyFill="1" applyAlignment="1">
      <alignment vertical="center" wrapText="1"/>
    </xf>
    <xf numFmtId="0" fontId="6" fillId="5" borderId="4" xfId="0" applyFont="1" applyFill="1" applyBorder="1" applyAlignment="1">
      <alignment horizontal="center" vertical="center" wrapText="1"/>
    </xf>
    <xf numFmtId="0" fontId="22" fillId="5" borderId="4" xfId="0" applyFont="1" applyFill="1" applyBorder="1" applyAlignment="1">
      <alignment horizontal="center" vertical="center" wrapText="1"/>
    </xf>
    <xf numFmtId="0" fontId="22" fillId="10" borderId="4" xfId="0" applyFont="1" applyFill="1" applyBorder="1" applyAlignment="1">
      <alignment horizontal="center" vertical="center" wrapText="1"/>
    </xf>
    <xf numFmtId="165" fontId="1" fillId="0" borderId="4" xfId="0" applyNumberFormat="1" applyFont="1" applyBorder="1" applyAlignment="1">
      <alignment horizontal="center" vertical="center" wrapText="1"/>
    </xf>
    <xf numFmtId="0" fontId="21" fillId="0" borderId="0" xfId="0" applyFont="1" applyAlignment="1">
      <alignment horizontal="left" vertical="center" wrapText="1"/>
    </xf>
    <xf numFmtId="0" fontId="21" fillId="0" borderId="0" xfId="0" applyFont="1" applyAlignment="1">
      <alignment horizontal="center" vertical="center" wrapText="1"/>
    </xf>
    <xf numFmtId="0" fontId="21" fillId="0" borderId="0" xfId="0" applyFont="1" applyAlignment="1">
      <alignment horizontal="left"/>
    </xf>
    <xf numFmtId="0" fontId="21" fillId="0" borderId="0" xfId="0" applyFont="1" applyAlignment="1">
      <alignment horizontal="center"/>
    </xf>
    <xf numFmtId="0" fontId="21" fillId="0" borderId="0" xfId="0" applyFont="1" applyAlignment="1">
      <alignment horizontal="left" wrapText="1"/>
    </xf>
    <xf numFmtId="0" fontId="21" fillId="0" borderId="0" xfId="0" applyFont="1" applyAlignment="1">
      <alignment horizontal="center" wrapText="1"/>
    </xf>
    <xf numFmtId="0" fontId="3" fillId="12" borderId="5" xfId="0" applyFont="1" applyFill="1" applyBorder="1" applyAlignment="1">
      <alignment horizontal="center" vertical="center" wrapText="1"/>
    </xf>
    <xf numFmtId="0" fontId="16" fillId="6" borderId="7" xfId="0" applyFont="1" applyFill="1" applyBorder="1" applyAlignment="1">
      <alignment horizontal="center" vertical="center"/>
    </xf>
    <xf numFmtId="0" fontId="16" fillId="6" borderId="9" xfId="0" applyFont="1" applyFill="1" applyBorder="1" applyAlignment="1">
      <alignment horizontal="center" vertical="center"/>
    </xf>
    <xf numFmtId="0" fontId="16" fillId="6" borderId="10" xfId="0" applyFont="1" applyFill="1" applyBorder="1" applyAlignment="1">
      <alignment horizontal="center" vertical="center"/>
    </xf>
    <xf numFmtId="0" fontId="16" fillId="6" borderId="11" xfId="0" applyFont="1" applyFill="1" applyBorder="1" applyAlignment="1">
      <alignment horizontal="center" vertical="center"/>
    </xf>
    <xf numFmtId="0" fontId="16" fillId="6" borderId="8" xfId="0" applyFont="1" applyFill="1" applyBorder="1" applyAlignment="1">
      <alignment horizontal="center" vertical="center"/>
    </xf>
    <xf numFmtId="0" fontId="16" fillId="6" borderId="6" xfId="0" applyFont="1" applyFill="1" applyBorder="1" applyAlignment="1">
      <alignment horizontal="center" vertical="center"/>
    </xf>
    <xf numFmtId="0" fontId="23" fillId="4" borderId="6" xfId="0" applyFont="1" applyFill="1" applyBorder="1" applyAlignment="1">
      <alignment horizontal="center" vertical="top"/>
    </xf>
    <xf numFmtId="0" fontId="15" fillId="0" borderId="6" xfId="0" applyFont="1" applyBorder="1" applyAlignment="1">
      <alignment horizontal="center"/>
    </xf>
    <xf numFmtId="0" fontId="6" fillId="5" borderId="4" xfId="0" applyFont="1" applyFill="1" applyBorder="1" applyAlignment="1">
      <alignment horizontal="center" vertical="center" wrapText="1"/>
    </xf>
    <xf numFmtId="0" fontId="0" fillId="0" borderId="0" xfId="0" applyAlignment="1">
      <alignment horizontal="center" vertical="center"/>
    </xf>
    <xf numFmtId="0" fontId="6" fillId="2" borderId="4" xfId="0" applyFont="1" applyFill="1" applyBorder="1" applyAlignment="1">
      <alignment horizontal="center" vertical="center" wrapText="1"/>
    </xf>
    <xf numFmtId="0" fontId="0" fillId="0" borderId="4" xfId="0" applyBorder="1" applyAlignment="1">
      <alignment horizontal="center" vertical="center" wrapText="1"/>
    </xf>
    <xf numFmtId="0" fontId="6" fillId="5" borderId="12"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1" fillId="8" borderId="4" xfId="0" applyFont="1" applyFill="1" applyBorder="1" applyAlignment="1">
      <alignment horizontal="center" vertical="center" wrapText="1"/>
    </xf>
    <xf numFmtId="0" fontId="22" fillId="10" borderId="13" xfId="0" applyFont="1" applyFill="1" applyBorder="1" applyAlignment="1">
      <alignment horizontal="center" vertical="center" wrapText="1"/>
    </xf>
    <xf numFmtId="0" fontId="22" fillId="10" borderId="14" xfId="0" applyFont="1" applyFill="1" applyBorder="1" applyAlignment="1">
      <alignment horizontal="center" vertical="center" wrapText="1"/>
    </xf>
    <xf numFmtId="0" fontId="22" fillId="10" borderId="15" xfId="0" applyFont="1" applyFill="1" applyBorder="1" applyAlignment="1">
      <alignment horizontal="center" vertical="center" wrapText="1"/>
    </xf>
    <xf numFmtId="0" fontId="16" fillId="6" borderId="7"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6" borderId="9" xfId="0" applyFont="1" applyFill="1" applyBorder="1" applyAlignment="1">
      <alignment horizontal="center" vertical="center" wrapText="1"/>
    </xf>
    <xf numFmtId="0" fontId="16" fillId="6" borderId="10" xfId="0" applyFont="1" applyFill="1" applyBorder="1" applyAlignment="1">
      <alignment horizontal="center" vertical="center" wrapText="1"/>
    </xf>
    <xf numFmtId="0" fontId="16" fillId="6" borderId="6" xfId="0" applyFont="1" applyFill="1" applyBorder="1" applyAlignment="1">
      <alignment horizontal="center" vertical="center" wrapText="1"/>
    </xf>
    <xf numFmtId="0" fontId="16" fillId="6" borderId="11" xfId="0" applyFont="1" applyFill="1" applyBorder="1" applyAlignment="1">
      <alignment horizontal="center" vertical="center" wrapText="1"/>
    </xf>
    <xf numFmtId="0" fontId="16" fillId="6" borderId="4" xfId="0" applyFont="1" applyFill="1" applyBorder="1" applyAlignment="1">
      <alignment horizontal="center" vertical="center" wrapText="1"/>
    </xf>
    <xf numFmtId="0" fontId="1" fillId="11" borderId="4" xfId="0" applyFont="1" applyFill="1" applyBorder="1" applyAlignment="1">
      <alignment horizontal="center" vertical="center" wrapText="1"/>
    </xf>
    <xf numFmtId="0" fontId="1" fillId="0" borderId="2" xfId="0" applyFont="1" applyBorder="1" applyAlignment="1">
      <alignment wrapText="1"/>
    </xf>
    <xf numFmtId="0" fontId="1" fillId="0" borderId="3" xfId="0" applyFont="1" applyBorder="1" applyAlignment="1">
      <alignment wrapText="1"/>
    </xf>
    <xf numFmtId="0" fontId="12" fillId="0" borderId="2" xfId="0" applyFont="1" applyBorder="1" applyAlignment="1">
      <alignment wrapText="1"/>
    </xf>
    <xf numFmtId="0" fontId="13" fillId="0" borderId="6" xfId="0" applyFont="1" applyBorder="1" applyAlignment="1">
      <alignment horizontal="center" vertical="top"/>
    </xf>
    <xf numFmtId="0" fontId="16" fillId="6" borderId="13" xfId="0" applyFont="1" applyFill="1" applyBorder="1" applyAlignment="1">
      <alignment horizontal="center" vertical="center"/>
    </xf>
    <xf numFmtId="0" fontId="16" fillId="6" borderId="14" xfId="0" applyFont="1" applyFill="1" applyBorder="1" applyAlignment="1">
      <alignment horizontal="center" vertical="center"/>
    </xf>
    <xf numFmtId="0" fontId="16" fillId="6" borderId="15" xfId="0" applyFont="1" applyFill="1" applyBorder="1" applyAlignment="1">
      <alignment horizontal="center" vertical="center"/>
    </xf>
    <xf numFmtId="0" fontId="20" fillId="5" borderId="12" xfId="0" applyFont="1" applyFill="1" applyBorder="1" applyAlignment="1">
      <alignment horizontal="center" vertical="center" wrapText="1"/>
    </xf>
    <xf numFmtId="0" fontId="20" fillId="5" borderId="16" xfId="0" applyFont="1" applyFill="1" applyBorder="1" applyAlignment="1">
      <alignment horizontal="center" vertical="center" wrapText="1"/>
    </xf>
    <xf numFmtId="0" fontId="20" fillId="5" borderId="5" xfId="0" applyFont="1" applyFill="1" applyBorder="1" applyAlignment="1">
      <alignment horizontal="center" vertical="center" wrapText="1"/>
    </xf>
    <xf numFmtId="0" fontId="19" fillId="9" borderId="0" xfId="0" applyFont="1" applyFill="1" applyAlignment="1">
      <alignment horizontal="center" vertical="center" wrapText="1"/>
    </xf>
  </cellXfs>
  <cellStyles count="1">
    <cellStyle name="Normal" xfId="0" builtinId="0"/>
  </cellStyles>
  <dxfs count="558">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patternType="none">
          <bgColor auto="1"/>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theme="0"/>
        </patternFill>
      </fill>
    </dxf>
    <dxf>
      <fill>
        <patternFill>
          <bgColor theme="5" tint="0.39994506668294322"/>
        </patternFill>
      </fill>
    </dxf>
    <dxf>
      <fill>
        <patternFill>
          <bgColor theme="6" tint="0.39994506668294322"/>
        </patternFill>
      </fill>
    </dxf>
    <dxf>
      <fill>
        <patternFill>
          <bgColor theme="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206"/>
      <color rgb="FF00C029"/>
      <color rgb="FFE6B8B7"/>
      <color rgb="FFB8CCE4"/>
      <color rgb="FF366092"/>
      <color rgb="FF9636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customschemas.google.com/relationships/workbookmetadata" Target="metadata"/><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35984</xdr:colOff>
      <xdr:row>0</xdr:row>
      <xdr:rowOff>46566</xdr:rowOff>
    </xdr:from>
    <xdr:to>
      <xdr:col>0</xdr:col>
      <xdr:colOff>287761</xdr:colOff>
      <xdr:row>0</xdr:row>
      <xdr:rowOff>310793</xdr:rowOff>
    </xdr:to>
    <xdr:pic macro="[0]!ThisWorkbook.ShowMenu">
      <xdr:nvPicPr>
        <xdr:cNvPr id="4" name="Picture 3" descr="https://cdn1.iconfinder.com/data/icons/basic-ui-elements-color/700/06_menu_stack-512.png" title="Project Properties">
          <a:extLst>
            <a:ext uri="{FF2B5EF4-FFF2-40B4-BE49-F238E27FC236}">
              <a16:creationId xmlns:a16="http://schemas.microsoft.com/office/drawing/2014/main" id="{7E5DA664-2143-479F-A4E8-056F818218B7}"/>
            </a:ext>
          </a:extLst>
        </xdr:cNvPr>
        <xdr:cNvPicPr>
          <a:picLocks noChangeAspect="1" noChangeArrowheads="1"/>
        </xdr:cNvPicPr>
      </xdr:nvPicPr>
      <xdr:blipFill>
        <a:blip xmlns:r="http://schemas.openxmlformats.org/officeDocument/2006/relationships" r:embed="rId1" cstate="print">
          <a:duotone>
            <a:prstClr val="black"/>
            <a:srgbClr val="00B050">
              <a:tint val="45000"/>
              <a:satMod val="400000"/>
            </a:srgb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35984" y="46566"/>
          <a:ext cx="255587" cy="262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7</xdr:col>
      <xdr:colOff>561975</xdr:colOff>
      <xdr:row>41</xdr:row>
      <xdr:rowOff>66675</xdr:rowOff>
    </xdr:to>
    <xdr:sp macro="" textlink="">
      <xdr:nvSpPr>
        <xdr:cNvPr id="2058" name="Text Box 10" hidden="1">
          <a:extLst>
            <a:ext uri="{FF2B5EF4-FFF2-40B4-BE49-F238E27FC236}">
              <a16:creationId xmlns:a16="http://schemas.microsoft.com/office/drawing/2014/main" id="{72EBEA1B-4C59-2481-A4B4-69A23283A0B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561975</xdr:colOff>
      <xdr:row>41</xdr:row>
      <xdr:rowOff>66675</xdr:rowOff>
    </xdr:to>
    <xdr:sp macro="" textlink="">
      <xdr:nvSpPr>
        <xdr:cNvPr id="2" name="AutoShape 10">
          <a:extLst>
            <a:ext uri="{FF2B5EF4-FFF2-40B4-BE49-F238E27FC236}">
              <a16:creationId xmlns:a16="http://schemas.microsoft.com/office/drawing/2014/main" id="{8F74FE6E-0D1D-3219-E3A5-849030732F07}"/>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561975</xdr:colOff>
      <xdr:row>41</xdr:row>
      <xdr:rowOff>66675</xdr:rowOff>
    </xdr:to>
    <xdr:sp macro="" textlink="">
      <xdr:nvSpPr>
        <xdr:cNvPr id="3" name="AutoShape 10">
          <a:extLst>
            <a:ext uri="{FF2B5EF4-FFF2-40B4-BE49-F238E27FC236}">
              <a16:creationId xmlns:a16="http://schemas.microsoft.com/office/drawing/2014/main" id="{03A3F0B6-16B3-32DC-85B0-E5E332097E62}"/>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552450</xdr:colOff>
      <xdr:row>41</xdr:row>
      <xdr:rowOff>66675</xdr:rowOff>
    </xdr:to>
    <xdr:sp macro="" textlink="">
      <xdr:nvSpPr>
        <xdr:cNvPr id="3082" name="Text Box 10" hidden="1">
          <a:extLst>
            <a:ext uri="{FF2B5EF4-FFF2-40B4-BE49-F238E27FC236}">
              <a16:creationId xmlns:a16="http://schemas.microsoft.com/office/drawing/2014/main" id="{59873504-BE7A-25DB-DA57-2E18A6AAD635}"/>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552450</xdr:colOff>
      <xdr:row>41</xdr:row>
      <xdr:rowOff>66675</xdr:rowOff>
    </xdr:to>
    <xdr:sp macro="" textlink="">
      <xdr:nvSpPr>
        <xdr:cNvPr id="2" name="AutoShape 10">
          <a:extLst>
            <a:ext uri="{FF2B5EF4-FFF2-40B4-BE49-F238E27FC236}">
              <a16:creationId xmlns:a16="http://schemas.microsoft.com/office/drawing/2014/main" id="{E63DEBCC-7649-6A56-510F-8E2B74D2CC57}"/>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7</xdr:col>
      <xdr:colOff>552450</xdr:colOff>
      <xdr:row>41</xdr:row>
      <xdr:rowOff>66675</xdr:rowOff>
    </xdr:to>
    <xdr:sp macro="" textlink="">
      <xdr:nvSpPr>
        <xdr:cNvPr id="3" name="AutoShape 10">
          <a:extLst>
            <a:ext uri="{FF2B5EF4-FFF2-40B4-BE49-F238E27FC236}">
              <a16:creationId xmlns:a16="http://schemas.microsoft.com/office/drawing/2014/main" id="{61CE83E3-37C8-161E-53A7-EF8BCCC34145}"/>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editAs="oneCell">
    <xdr:from>
      <xdr:col>0</xdr:col>
      <xdr:colOff>35984</xdr:colOff>
      <xdr:row>0</xdr:row>
      <xdr:rowOff>46566</xdr:rowOff>
    </xdr:from>
    <xdr:to>
      <xdr:col>0</xdr:col>
      <xdr:colOff>287761</xdr:colOff>
      <xdr:row>0</xdr:row>
      <xdr:rowOff>310793</xdr:rowOff>
    </xdr:to>
    <xdr:pic macro="[0]!ThisWorkbook.ShowMenu">
      <xdr:nvPicPr>
        <xdr:cNvPr id="6" name="Picture 5" descr="https://cdn1.iconfinder.com/data/icons/basic-ui-elements-color/700/06_menu_stack-512.png" title="Project Properties">
          <a:extLst>
            <a:ext uri="{FF2B5EF4-FFF2-40B4-BE49-F238E27FC236}">
              <a16:creationId xmlns:a16="http://schemas.microsoft.com/office/drawing/2014/main" id="{349E62D2-D7C3-4567-89CE-8B4939B5D0B9}"/>
            </a:ext>
          </a:extLst>
        </xdr:cNvPr>
        <xdr:cNvPicPr>
          <a:picLocks noChangeAspect="1" noChangeArrowheads="1"/>
        </xdr:cNvPicPr>
      </xdr:nvPicPr>
      <xdr:blipFill>
        <a:blip xmlns:r="http://schemas.openxmlformats.org/officeDocument/2006/relationships" r:embed="rId1" cstate="print">
          <a:duotone>
            <a:prstClr val="black"/>
            <a:srgbClr val="00B050">
              <a:tint val="45000"/>
              <a:satMod val="400000"/>
            </a:srgb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35984" y="46566"/>
          <a:ext cx="251777" cy="2642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381000</xdr:colOff>
      <xdr:row>58</xdr:row>
      <xdr:rowOff>104775</xdr:rowOff>
    </xdr:to>
    <xdr:sp macro="" textlink="">
      <xdr:nvSpPr>
        <xdr:cNvPr id="6154" name="Text Box 10" hidden="1">
          <a:extLst>
            <a:ext uri="{FF2B5EF4-FFF2-40B4-BE49-F238E27FC236}">
              <a16:creationId xmlns:a16="http://schemas.microsoft.com/office/drawing/2014/main" id="{3EDDDD46-1051-B276-084D-6371ADF11157}"/>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15</xdr:col>
      <xdr:colOff>381000</xdr:colOff>
      <xdr:row>58</xdr:row>
      <xdr:rowOff>104775</xdr:rowOff>
    </xdr:to>
    <xdr:sp macro="" textlink="">
      <xdr:nvSpPr>
        <xdr:cNvPr id="2" name="AutoShape 10">
          <a:extLst>
            <a:ext uri="{FF2B5EF4-FFF2-40B4-BE49-F238E27FC236}">
              <a16:creationId xmlns:a16="http://schemas.microsoft.com/office/drawing/2014/main" id="{CDF93CB6-967B-737D-0130-322A3A1A3365}"/>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35984</xdr:colOff>
      <xdr:row>0</xdr:row>
      <xdr:rowOff>46566</xdr:rowOff>
    </xdr:from>
    <xdr:to>
      <xdr:col>0</xdr:col>
      <xdr:colOff>291571</xdr:colOff>
      <xdr:row>0</xdr:row>
      <xdr:rowOff>308888</xdr:rowOff>
    </xdr:to>
    <xdr:pic macro="[0]!ThisWorkbook.ShowMenu">
      <xdr:nvPicPr>
        <xdr:cNvPr id="4" name="Picture 3" descr="https://cdn1.iconfinder.com/data/icons/basic-ui-elements-color/700/06_menu_stack-512.png" title="Project Properties">
          <a:extLst>
            <a:ext uri="{FF2B5EF4-FFF2-40B4-BE49-F238E27FC236}">
              <a16:creationId xmlns:a16="http://schemas.microsoft.com/office/drawing/2014/main" id="{BC56839B-50D5-48B6-B1D2-8960BC1A7FD6}"/>
            </a:ext>
          </a:extLst>
        </xdr:cNvPr>
        <xdr:cNvPicPr>
          <a:picLocks noChangeAspect="1" noChangeArrowheads="1"/>
        </xdr:cNvPicPr>
      </xdr:nvPicPr>
      <xdr:blipFill>
        <a:blip xmlns:r="http://schemas.openxmlformats.org/officeDocument/2006/relationships" r:embed="rId1" cstate="print">
          <a:duotone>
            <a:prstClr val="black"/>
            <a:srgbClr val="00B050">
              <a:tint val="45000"/>
              <a:satMod val="400000"/>
            </a:srgb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35984" y="46566"/>
          <a:ext cx="255587" cy="262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514350</xdr:colOff>
      <xdr:row>7</xdr:row>
      <xdr:rowOff>133350</xdr:rowOff>
    </xdr:from>
    <xdr:to>
      <xdr:col>17</xdr:col>
      <xdr:colOff>371475</xdr:colOff>
      <xdr:row>25</xdr:row>
      <xdr:rowOff>137213</xdr:rowOff>
    </xdr:to>
    <xdr:pic>
      <xdr:nvPicPr>
        <xdr:cNvPr id="4" name="Picture 3">
          <a:extLst>
            <a:ext uri="{FF2B5EF4-FFF2-40B4-BE49-F238E27FC236}">
              <a16:creationId xmlns:a16="http://schemas.microsoft.com/office/drawing/2014/main" id="{2C14A8ED-DDC5-43E9-8809-637CE634DA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53275" y="1438275"/>
          <a:ext cx="3514725" cy="291851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arrett\Documents\Repos\3M-Acelity\02337-acelity-prevena-cybersecurity\6%20Templates\Vulnerability%20Assessment%20Template\Prevena125SampleRM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rrett\Documents\Repos\3M-Acelity\02337-acelity-prevena-cybersecurity\6%20Templates\Vulnerability%20Assessment%20Template\3M%20HCBG%20Vulnerability%20Analysis%20Template%20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Project Info and Approvals"/>
      <sheetName val="Top Down"/>
      <sheetName val="DFMECA"/>
      <sheetName val="Usability"/>
      <sheetName val="PFMECA"/>
      <sheetName val="Revision History"/>
      <sheetName val="Revision History - Legacy"/>
      <sheetName val="Reference Documents"/>
      <sheetName val="Definitions"/>
      <sheetName val="Boundary Diagram Device"/>
      <sheetName val="Boundary Diagram Dressing"/>
      <sheetName val="Full Compare History Log"/>
      <sheetName val="Acceptability Table"/>
      <sheetName val="KCI Product Hazards List"/>
      <sheetName val="KCI Product Harms List"/>
      <sheetName val="Local Harms List"/>
      <sheetName val="Risk Table"/>
      <sheetName val="Lists"/>
    </sheetNames>
    <sheetDataSet>
      <sheetData sheetId="0"/>
      <sheetData sheetId="1">
        <row r="2">
          <cell r="A2" t="str">
            <v>Risk Analysis Type:</v>
          </cell>
        </row>
      </sheetData>
      <sheetData sheetId="2"/>
      <sheetData sheetId="3"/>
      <sheetData sheetId="4"/>
      <sheetData sheetId="5"/>
      <sheetData sheetId="6"/>
      <sheetData sheetId="7"/>
      <sheetData sheetId="8"/>
      <sheetData sheetId="9"/>
      <sheetData sheetId="10"/>
      <sheetData sheetId="11"/>
      <sheetData sheetId="12"/>
      <sheetData sheetId="13">
        <row r="8">
          <cell r="B8">
            <v>0</v>
          </cell>
          <cell r="C8">
            <v>1</v>
          </cell>
          <cell r="D8">
            <v>2</v>
          </cell>
          <cell r="E8">
            <v>3</v>
          </cell>
          <cell r="F8">
            <v>4</v>
          </cell>
          <cell r="G8">
            <v>5</v>
          </cell>
        </row>
        <row r="9">
          <cell r="B9">
            <v>5</v>
          </cell>
          <cell r="C9">
            <v>5</v>
          </cell>
          <cell r="D9">
            <v>5</v>
          </cell>
          <cell r="E9">
            <v>5</v>
          </cell>
          <cell r="F9">
            <v>5</v>
          </cell>
          <cell r="G9">
            <v>5</v>
          </cell>
        </row>
        <row r="10">
          <cell r="B10">
            <v>4</v>
          </cell>
          <cell r="C10">
            <v>4</v>
          </cell>
          <cell r="D10">
            <v>4</v>
          </cell>
          <cell r="E10">
            <v>4</v>
          </cell>
          <cell r="F10">
            <v>4</v>
          </cell>
          <cell r="G10">
            <v>4</v>
          </cell>
        </row>
        <row r="11">
          <cell r="B11">
            <v>3</v>
          </cell>
          <cell r="C11">
            <v>3</v>
          </cell>
          <cell r="D11">
            <v>3</v>
          </cell>
          <cell r="E11">
            <v>3</v>
          </cell>
          <cell r="F11">
            <v>3</v>
          </cell>
          <cell r="G11">
            <v>3</v>
          </cell>
        </row>
        <row r="12">
          <cell r="B12">
            <v>2</v>
          </cell>
          <cell r="C12">
            <v>2</v>
          </cell>
          <cell r="D12">
            <v>2</v>
          </cell>
          <cell r="E12">
            <v>2</v>
          </cell>
          <cell r="F12">
            <v>2</v>
          </cell>
          <cell r="G12">
            <v>2</v>
          </cell>
        </row>
        <row r="13">
          <cell r="B13">
            <v>1</v>
          </cell>
          <cell r="C13">
            <v>1</v>
          </cell>
          <cell r="D13">
            <v>1</v>
          </cell>
          <cell r="E13">
            <v>1</v>
          </cell>
          <cell r="F13">
            <v>1</v>
          </cell>
          <cell r="G13">
            <v>1</v>
          </cell>
        </row>
      </sheetData>
      <sheetData sheetId="14">
        <row r="8">
          <cell r="A8" t="str">
            <v>Administration of Topical Anesthetic</v>
          </cell>
        </row>
        <row r="9">
          <cell r="A9" t="str">
            <v>Airway Disruption</v>
          </cell>
        </row>
        <row r="10">
          <cell r="A10" t="str">
            <v>Antimicrobial/ Antiseptic Resistance</v>
          </cell>
        </row>
        <row r="11">
          <cell r="A11" t="str">
            <v>Application of NPT Over Intact Skin</v>
          </cell>
        </row>
        <row r="12">
          <cell r="A12" t="str">
            <v>Application of Therapy over Sprain or Strain</v>
          </cell>
        </row>
        <row r="13">
          <cell r="A13" t="str">
            <v>Battery Outgassing</v>
          </cell>
        </row>
        <row r="14">
          <cell r="A14" t="str">
            <v>Biohazard Exposure</v>
          </cell>
        </row>
        <row r="15">
          <cell r="A15" t="str">
            <v>Blisters Do Not Form</v>
          </cell>
        </row>
        <row r="16">
          <cell r="A16" t="str">
            <v>Chemical or Toxin Toxicity</v>
          </cell>
        </row>
        <row r="17">
          <cell r="A17" t="str">
            <v>Contamination of Animal Derived Material</v>
          </cell>
        </row>
        <row r="18">
          <cell r="A18" t="str">
            <v>Contamination of Sterile Field</v>
          </cell>
        </row>
        <row r="19">
          <cell r="A19" t="str">
            <v>Contamination of Wound</v>
          </cell>
        </row>
        <row r="20">
          <cell r="A20" t="str">
            <v>Continuous Negative Pressure Therapy Applied Instead of Intermittent</v>
          </cell>
        </row>
        <row r="21">
          <cell r="A21" t="str">
            <v>Cytotoxicity</v>
          </cell>
        </row>
        <row r="22">
          <cell r="A22" t="str">
            <v>Damage to Sensitive Structures</v>
          </cell>
        </row>
        <row r="23">
          <cell r="A23" t="str">
            <v>Delay/Interruption in Providing Therapy</v>
          </cell>
        </row>
        <row r="24">
          <cell r="A24" t="str">
            <v>Device/Device Accessories Become Hot</v>
          </cell>
        </row>
        <row r="25">
          <cell r="A25" t="str">
            <v>Device Unbalanced</v>
          </cell>
        </row>
        <row r="26">
          <cell r="A26" t="str">
            <v>Displacement of Dressing</v>
          </cell>
        </row>
        <row r="27">
          <cell r="A27" t="str">
            <v>Disruption of Hemostasis</v>
          </cell>
        </row>
        <row r="28">
          <cell r="A28" t="str">
            <v xml:space="preserve">Electrical Shock </v>
          </cell>
        </row>
        <row r="29">
          <cell r="A29" t="str">
            <v>Environmental Contamination of Waste Site</v>
          </cell>
        </row>
        <row r="30">
          <cell r="A30" t="str">
            <v>Excessive Airflow Across the Wound</v>
          </cell>
        </row>
        <row r="31">
          <cell r="A31" t="str">
            <v>Excessive Force on Intact Skin</v>
          </cell>
        </row>
        <row r="32">
          <cell r="A32" t="str">
            <v>Exposure to Animal Derived Material</v>
          </cell>
        </row>
        <row r="33">
          <cell r="A33" t="str">
            <v>Exposure to Battery Acids</v>
          </cell>
        </row>
        <row r="34">
          <cell r="A34" t="str">
            <v>Exposure to Cleaning Agents</v>
          </cell>
        </row>
        <row r="35">
          <cell r="A35" t="str">
            <v>Exposure to Low Levels of DEHP</v>
          </cell>
        </row>
        <row r="36">
          <cell r="A36" t="str">
            <v>Fire Hazard</v>
          </cell>
        </row>
        <row r="37">
          <cell r="A37" t="str">
            <v>Foreign Material Retained in Wound</v>
          </cell>
        </row>
        <row r="38">
          <cell r="A38" t="str">
            <v>Hanger Arm Malfunction</v>
          </cell>
        </row>
        <row r="39">
          <cell r="A39" t="str">
            <v>Hemostasis not Achieved</v>
          </cell>
        </row>
        <row r="40">
          <cell r="A40" t="str">
            <v>Impaired Circulation</v>
          </cell>
        </row>
        <row r="41">
          <cell r="A41" t="str">
            <v>Impaired Thermal Regulation</v>
          </cell>
        </row>
        <row r="42">
          <cell r="A42" t="str">
            <v>Inability to Harvest Epidermal Grafts</v>
          </cell>
        </row>
        <row r="43">
          <cell r="A43" t="str">
            <v xml:space="preserve">Inaccurate, Unintelligible, or Unavailable Therapy History Data </v>
          </cell>
        </row>
        <row r="44">
          <cell r="A44" t="str">
            <v>Inactive Wound Treatment Agent</v>
          </cell>
        </row>
        <row r="45">
          <cell r="A45" t="str">
            <v>Inadequate Removal of Fluid</v>
          </cell>
        </row>
        <row r="46">
          <cell r="A46" t="str">
            <v>Inadequate Separation of Sensitive Structures</v>
          </cell>
        </row>
        <row r="47">
          <cell r="A47" t="str">
            <v>Inappropriate Dressing of Wound</v>
          </cell>
        </row>
        <row r="48">
          <cell r="A48" t="str">
            <v>Inappropriate Preparation of Wound</v>
          </cell>
        </row>
        <row r="49">
          <cell r="A49" t="str">
            <v>Inappropriate Selection of Therapy/Treatment</v>
          </cell>
        </row>
        <row r="50">
          <cell r="A50" t="str">
            <v>Inappropriate Selection of Wound</v>
          </cell>
        </row>
        <row r="51">
          <cell r="A51" t="str">
            <v>Inappropriate Selection of Wound Treatment Solution</v>
          </cell>
        </row>
        <row r="52">
          <cell r="A52" t="str">
            <v>Inappropriate Use of Adjunctive Materials</v>
          </cell>
        </row>
        <row r="53">
          <cell r="A53" t="str">
            <v>Incision Site Not Visible for Clinician Examination</v>
          </cell>
        </row>
        <row r="54">
          <cell r="A54" t="str">
            <v>Incisional Deformation</v>
          </cell>
        </row>
        <row r="55">
          <cell r="A55" t="str">
            <v>Individual Impact with Device</v>
          </cell>
        </row>
        <row r="56">
          <cell r="A56" t="str">
            <v>Inherent Surgical Risk</v>
          </cell>
        </row>
        <row r="57">
          <cell r="A57" t="str">
            <v>Instillation of Wound Treatment Solution into Patient IV</v>
          </cell>
        </row>
        <row r="58">
          <cell r="A58" t="str">
            <v>Interference to Other Equipment</v>
          </cell>
        </row>
        <row r="59">
          <cell r="A59" t="str">
            <v>Interference from Other Equipment</v>
          </cell>
        </row>
        <row r="60">
          <cell r="A60" t="str">
            <v>Intermittent Negative Pressure Therapy Applied Instead of Continuous</v>
          </cell>
        </row>
        <row r="61">
          <cell r="A61" t="str">
            <v>Internal Product Contamination</v>
          </cell>
        </row>
        <row r="62">
          <cell r="A62" t="str">
            <v>Limited Visibility of Underlying Structures</v>
          </cell>
        </row>
        <row r="63">
          <cell r="A63" t="str">
            <v>Misinterpretation of Data</v>
          </cell>
        </row>
        <row r="64">
          <cell r="A64" t="str">
            <v>Moisture Accumulation over Intact Skin</v>
          </cell>
        </row>
        <row r="65">
          <cell r="A65" t="str">
            <v>Negative Pressure Below Prescribed Setting</v>
          </cell>
        </row>
        <row r="66">
          <cell r="A66" t="str">
            <v>Negative Pressure Higher Than Prescribed Setting</v>
          </cell>
        </row>
        <row r="67">
          <cell r="A67" t="str">
            <v>Nervous System Stimulation</v>
          </cell>
        </row>
        <row r="68">
          <cell r="A68" t="str">
            <v>No Hazard</v>
          </cell>
        </row>
        <row r="69">
          <cell r="A69" t="str">
            <v>Over Delivery of Instillation Solution</v>
          </cell>
        </row>
        <row r="70">
          <cell r="A70" t="str">
            <v>Patient Sensitivity to Device Materials or Wound Treatment Solutions</v>
          </cell>
        </row>
        <row r="71">
          <cell r="A71" t="str">
            <v>Physiological Insult due to Requirement for Dressing Change</v>
          </cell>
        </row>
        <row r="72">
          <cell r="A72" t="str">
            <v xml:space="preserve">Pinch Point </v>
          </cell>
        </row>
        <row r="73">
          <cell r="A73" t="str">
            <v>Pressure Point Hazard</v>
          </cell>
        </row>
        <row r="74">
          <cell r="A74" t="str">
            <v>Product Adheres to Treatment Area</v>
          </cell>
        </row>
        <row r="75">
          <cell r="A75" t="str">
            <v>Restriction of Abdominal Cavity</v>
          </cell>
        </row>
        <row r="76">
          <cell r="A76" t="str">
            <v>Reuse/Reprocess of Single Use or Single Patient Use Product</v>
          </cell>
        </row>
        <row r="77">
          <cell r="A77" t="str">
            <v>Scrape Hazard</v>
          </cell>
        </row>
        <row r="78">
          <cell r="A78" t="str">
            <v>Silver Exposure</v>
          </cell>
        </row>
        <row r="79">
          <cell r="A79" t="str">
            <v>Slip Hazard</v>
          </cell>
        </row>
        <row r="80">
          <cell r="A80" t="str">
            <v>Smoke Hazard</v>
          </cell>
        </row>
        <row r="81">
          <cell r="A81" t="str">
            <v>Sprain/Strain Therapy over more Extensive Injury</v>
          </cell>
        </row>
        <row r="82">
          <cell r="A82" t="str">
            <v>Thoracic Cavity Pressure</v>
          </cell>
        </row>
        <row r="83">
          <cell r="A83" t="str">
            <v>Tissue In-Growth into Dressing Material</v>
          </cell>
        </row>
        <row r="84">
          <cell r="A84" t="str">
            <v>Tissue Strain Insufficient to Help Promote Granulation</v>
          </cell>
        </row>
        <row r="85">
          <cell r="A85" t="str">
            <v>Tissue Thermal Hazard</v>
          </cell>
        </row>
        <row r="86">
          <cell r="A86" t="str">
            <v>Trip Hazard</v>
          </cell>
        </row>
        <row r="87">
          <cell r="A87" t="str">
            <v>Under Delivery of Instillation Solution</v>
          </cell>
        </row>
        <row r="88">
          <cell r="A88" t="str">
            <v>Use of Intermittent Negative Pressure  Therapy for Inappropriate Wound Type</v>
          </cell>
        </row>
        <row r="89">
          <cell r="A89" t="str">
            <v>User is Not Aware of Alarms</v>
          </cell>
        </row>
        <row r="90">
          <cell r="A90" t="str">
            <v>Wound Treatment Solution is Caustic or Acidic</v>
          </cell>
        </row>
      </sheetData>
      <sheetData sheetId="15">
        <row r="7">
          <cell r="B7" t="str">
            <v>Hypothermia</v>
          </cell>
          <cell r="E7">
            <v>3</v>
          </cell>
        </row>
        <row r="8">
          <cell r="B8" t="str">
            <v xml:space="preserve">Fever </v>
          </cell>
          <cell r="E8">
            <v>2</v>
          </cell>
        </row>
        <row r="9">
          <cell r="B9" t="str">
            <v>Local Cutaneous Reaction</v>
          </cell>
          <cell r="E9">
            <v>2</v>
          </cell>
        </row>
        <row r="10">
          <cell r="B10" t="str">
            <v>Regional/General Cutaneous Reaction</v>
          </cell>
          <cell r="E10">
            <v>3</v>
          </cell>
        </row>
        <row r="11">
          <cell r="B11" t="str">
            <v xml:space="preserve">Systemic Reaction </v>
          </cell>
          <cell r="E11">
            <v>5</v>
          </cell>
        </row>
        <row r="12">
          <cell r="B12" t="str">
            <v>Minor Bleeding</v>
          </cell>
          <cell r="E12">
            <v>2</v>
          </cell>
        </row>
        <row r="13">
          <cell r="B13" t="str">
            <v>Moderate Bleeding</v>
          </cell>
          <cell r="E13">
            <v>3</v>
          </cell>
        </row>
        <row r="14">
          <cell r="B14" t="str">
            <v>Severe Bleeding (Clinically Significant Bleeding)</v>
          </cell>
          <cell r="E14">
            <v>4</v>
          </cell>
        </row>
        <row r="15">
          <cell r="B15" t="str">
            <v>Exsanguination</v>
          </cell>
          <cell r="E15">
            <v>5</v>
          </cell>
        </row>
        <row r="16">
          <cell r="B16" t="str">
            <v>1st Degree Burn</v>
          </cell>
          <cell r="E16">
            <v>2</v>
          </cell>
        </row>
        <row r="17">
          <cell r="B17" t="str">
            <v>2nd Degree Burn</v>
          </cell>
          <cell r="E17">
            <v>3</v>
          </cell>
        </row>
        <row r="18">
          <cell r="B18" t="str">
            <v>3rd Degree Burn</v>
          </cell>
          <cell r="E18">
            <v>4</v>
          </cell>
        </row>
        <row r="19">
          <cell r="B19" t="str">
            <v>4th Degree Burn</v>
          </cell>
          <cell r="E19">
            <v>5</v>
          </cell>
        </row>
        <row r="20">
          <cell r="B20" t="str">
            <v>Cardiac Compromise</v>
          </cell>
          <cell r="E20">
            <v>3</v>
          </cell>
        </row>
        <row r="21">
          <cell r="B21" t="str">
            <v>Cardiac Arrest</v>
          </cell>
          <cell r="E21">
            <v>5</v>
          </cell>
        </row>
        <row r="22">
          <cell r="B22" t="str">
            <v>Tissue Ischemia</v>
          </cell>
          <cell r="E22">
            <v>3</v>
          </cell>
        </row>
        <row r="23">
          <cell r="B23" t="str">
            <v>Tissue Necrosis</v>
          </cell>
          <cell r="E23">
            <v>4</v>
          </cell>
        </row>
        <row r="24">
          <cell r="B24" t="str">
            <v>Electrocution</v>
          </cell>
          <cell r="E24">
            <v>5</v>
          </cell>
        </row>
        <row r="25">
          <cell r="B25" t="str">
            <v>Exposure Related Infection</v>
          </cell>
          <cell r="E25">
            <v>3</v>
          </cell>
        </row>
        <row r="26">
          <cell r="B26" t="str">
            <v>Exposure Related Reaction</v>
          </cell>
          <cell r="E26">
            <v>2</v>
          </cell>
        </row>
        <row r="27">
          <cell r="B27" t="str">
            <v>Non-Progression of Wound Healing</v>
          </cell>
          <cell r="E27">
            <v>1</v>
          </cell>
        </row>
        <row r="28">
          <cell r="B28" t="str">
            <v>Stalled Wound Healing</v>
          </cell>
          <cell r="E28">
            <v>2</v>
          </cell>
        </row>
        <row r="29">
          <cell r="B29" t="str">
            <v>Deterioration of Wound</v>
          </cell>
          <cell r="E29">
            <v>3</v>
          </cell>
        </row>
        <row r="30">
          <cell r="B30" t="str">
            <v xml:space="preserve">Irreversible Deterioration of Wound </v>
          </cell>
          <cell r="E30">
            <v>4</v>
          </cell>
        </row>
        <row r="31">
          <cell r="B31" t="str">
            <v>Surgical Site Disruption</v>
          </cell>
          <cell r="E31">
            <v>3</v>
          </cell>
        </row>
        <row r="32">
          <cell r="B32" t="str">
            <v>Minor Enteric Fistula</v>
          </cell>
          <cell r="E32">
            <v>3</v>
          </cell>
        </row>
        <row r="33">
          <cell r="B33" t="str">
            <v>Major Enteric Fistula</v>
          </cell>
          <cell r="E33">
            <v>4</v>
          </cell>
        </row>
        <row r="34">
          <cell r="B34" t="str">
            <v>Decreased Range of Motion</v>
          </cell>
          <cell r="E34">
            <v>3</v>
          </cell>
        </row>
        <row r="35">
          <cell r="B35" t="str">
            <v>Reversible Functional Impairment</v>
          </cell>
          <cell r="E35">
            <v>3</v>
          </cell>
        </row>
        <row r="36">
          <cell r="B36" t="str">
            <v>Irreversible Functional Impairment</v>
          </cell>
          <cell r="E36">
            <v>4</v>
          </cell>
        </row>
        <row r="37">
          <cell r="B37" t="str">
            <v>Loss of Fascial Domain</v>
          </cell>
          <cell r="E37">
            <v>3</v>
          </cell>
        </row>
        <row r="38">
          <cell r="B38" t="str">
            <v>Reversible Maceration</v>
          </cell>
          <cell r="E38">
            <v>2</v>
          </cell>
        </row>
        <row r="39">
          <cell r="B39" t="str">
            <v>Maceration</v>
          </cell>
          <cell r="E39">
            <v>3</v>
          </cell>
        </row>
        <row r="40">
          <cell r="B40" t="str">
            <v>No Anticipated Harm</v>
          </cell>
          <cell r="E40">
            <v>1</v>
          </cell>
        </row>
        <row r="41">
          <cell r="B41" t="str">
            <v>Physiological Decompensation</v>
          </cell>
          <cell r="E41">
            <v>4</v>
          </cell>
        </row>
        <row r="42">
          <cell r="B42" t="str">
            <v>Regulatory Impact</v>
          </cell>
          <cell r="E42">
            <v>1</v>
          </cell>
        </row>
        <row r="43">
          <cell r="B43" t="str">
            <v>Temporary Respiratory Distress without Long Term Effects</v>
          </cell>
          <cell r="E43">
            <v>3</v>
          </cell>
        </row>
        <row r="44">
          <cell r="B44" t="str">
            <v>Temporary Respiratory Distress With Long Term Effects</v>
          </cell>
          <cell r="E44">
            <v>4</v>
          </cell>
        </row>
        <row r="45">
          <cell r="B45" t="str">
            <v>Asphyxiation</v>
          </cell>
          <cell r="E45">
            <v>5</v>
          </cell>
        </row>
        <row r="46">
          <cell r="B46" t="str">
            <v>Temporary Visual Impairment</v>
          </cell>
          <cell r="E46">
            <v>2</v>
          </cell>
        </row>
        <row r="47">
          <cell r="B47" t="str">
            <v>Minor Soft Tissue Damage</v>
          </cell>
          <cell r="E47">
            <v>2</v>
          </cell>
        </row>
        <row r="48">
          <cell r="B48" t="str">
            <v>Epidermal Stripping or Skin Tear</v>
          </cell>
          <cell r="E48">
            <v>2</v>
          </cell>
        </row>
        <row r="49">
          <cell r="B49" t="str">
            <v>Moderate Soft Tissue Damage/Bone Fracture</v>
          </cell>
          <cell r="E49">
            <v>3</v>
          </cell>
        </row>
        <row r="50">
          <cell r="B50" t="str">
            <v>Dural Tear</v>
          </cell>
          <cell r="E50">
            <v>3</v>
          </cell>
        </row>
        <row r="51">
          <cell r="B51" t="str">
            <v>Cerebral Spinal Fluid (CSF) Partial Loss</v>
          </cell>
          <cell r="E51">
            <v>3</v>
          </cell>
        </row>
        <row r="52">
          <cell r="B52" t="str">
            <v>Major Soft Tissue Damage/Bone Fracture</v>
          </cell>
          <cell r="E52">
            <v>4</v>
          </cell>
        </row>
        <row r="53">
          <cell r="B53" t="str">
            <v>Catastrophic Tissue Damage</v>
          </cell>
          <cell r="E53">
            <v>5</v>
          </cell>
        </row>
        <row r="54">
          <cell r="B54" t="str">
            <v xml:space="preserve">Minor Tissue Desiccation </v>
          </cell>
          <cell r="E54">
            <v>3</v>
          </cell>
        </row>
        <row r="55">
          <cell r="B55" t="str">
            <v>Major Tissue Desiccation</v>
          </cell>
          <cell r="E55">
            <v>4</v>
          </cell>
        </row>
        <row r="56">
          <cell r="B56" t="str">
            <v>Tissue Staining</v>
          </cell>
          <cell r="E56">
            <v>1</v>
          </cell>
        </row>
        <row r="57">
          <cell r="B57" t="str">
            <v>Topical Anesthetic Toxicity</v>
          </cell>
          <cell r="E57">
            <v>5</v>
          </cell>
        </row>
        <row r="58">
          <cell r="B58" t="str">
            <v>Tunneling/Sinus Tracts/Non-Enteric Fistula</v>
          </cell>
          <cell r="E58">
            <v>3</v>
          </cell>
        </row>
        <row r="59">
          <cell r="B59" t="str">
            <v>Surgical Excision</v>
          </cell>
          <cell r="E59">
            <v>3</v>
          </cell>
        </row>
        <row r="60">
          <cell r="B60" t="str">
            <v>Sharp Debridement</v>
          </cell>
          <cell r="E60">
            <v>3</v>
          </cell>
        </row>
        <row r="61">
          <cell r="B61" t="str">
            <v>Amputation</v>
          </cell>
          <cell r="E61">
            <v>4</v>
          </cell>
        </row>
        <row r="62">
          <cell r="B62" t="str">
            <v>Customer Annoyance</v>
          </cell>
          <cell r="E62">
            <v>1</v>
          </cell>
        </row>
        <row r="63">
          <cell r="B63" t="str">
            <v>Physical Discomfort</v>
          </cell>
          <cell r="E63">
            <v>2</v>
          </cell>
        </row>
        <row r="64">
          <cell r="B64" t="str">
            <v>Pain</v>
          </cell>
          <cell r="E64">
            <v>3</v>
          </cell>
        </row>
        <row r="65">
          <cell r="B65" t="str">
            <v xml:space="preserve">Localized Infection </v>
          </cell>
          <cell r="E65">
            <v>3</v>
          </cell>
        </row>
        <row r="66">
          <cell r="B66" t="str">
            <v>Systemic Reversible Infection</v>
          </cell>
          <cell r="E66">
            <v>4</v>
          </cell>
        </row>
        <row r="67">
          <cell r="B67" t="str">
            <v>Systemic Irreversible Infection</v>
          </cell>
          <cell r="E67">
            <v>5</v>
          </cell>
        </row>
      </sheetData>
      <sheetData sheetId="16">
        <row r="8">
          <cell r="B8" t="str">
            <v>Cost of Rework</v>
          </cell>
        </row>
      </sheetData>
      <sheetData sheetId="17">
        <row r="7">
          <cell r="H7" t="str">
            <v>RPN_Value</v>
          </cell>
        </row>
        <row r="9">
          <cell r="A9" t="str">
            <v>Severity
Occurrence</v>
          </cell>
          <cell r="B9">
            <v>1</v>
          </cell>
          <cell r="C9">
            <v>2</v>
          </cell>
          <cell r="D9">
            <v>3</v>
          </cell>
          <cell r="E9">
            <v>4</v>
          </cell>
          <cell r="F9">
            <v>5</v>
          </cell>
        </row>
        <row r="10">
          <cell r="A10">
            <v>5</v>
          </cell>
          <cell r="B10" t="str">
            <v>M</v>
          </cell>
          <cell r="C10" t="str">
            <v>M</v>
          </cell>
          <cell r="D10" t="str">
            <v>H</v>
          </cell>
          <cell r="E10" t="str">
            <v>H</v>
          </cell>
          <cell r="F10" t="str">
            <v>H</v>
          </cell>
        </row>
        <row r="11">
          <cell r="A11">
            <v>4</v>
          </cell>
          <cell r="B11" t="str">
            <v>M</v>
          </cell>
          <cell r="C11" t="str">
            <v>M</v>
          </cell>
          <cell r="D11" t="str">
            <v>H</v>
          </cell>
          <cell r="E11" t="str">
            <v>H</v>
          </cell>
          <cell r="F11" t="str">
            <v>H</v>
          </cell>
        </row>
        <row r="12">
          <cell r="A12">
            <v>3</v>
          </cell>
          <cell r="B12" t="str">
            <v>L</v>
          </cell>
          <cell r="C12" t="str">
            <v>M</v>
          </cell>
          <cell r="D12" t="str">
            <v>M</v>
          </cell>
          <cell r="E12" t="str">
            <v>H</v>
          </cell>
          <cell r="F12" t="str">
            <v>H</v>
          </cell>
        </row>
        <row r="13">
          <cell r="A13">
            <v>2</v>
          </cell>
          <cell r="B13" t="str">
            <v>L</v>
          </cell>
          <cell r="C13" t="str">
            <v>L</v>
          </cell>
          <cell r="D13" t="str">
            <v>M</v>
          </cell>
          <cell r="E13" t="str">
            <v>M</v>
          </cell>
          <cell r="F13" t="str">
            <v>H</v>
          </cell>
        </row>
        <row r="14">
          <cell r="A14">
            <v>1</v>
          </cell>
          <cell r="B14" t="str">
            <v>L</v>
          </cell>
          <cell r="C14" t="str">
            <v>L</v>
          </cell>
          <cell r="D14" t="str">
            <v>M</v>
          </cell>
          <cell r="E14" t="str">
            <v>M</v>
          </cell>
          <cell r="F14" t="str">
            <v>M</v>
          </cell>
        </row>
      </sheetData>
      <sheetData sheetId="18">
        <row r="10">
          <cell r="A10" t="str">
            <v>Top Down</v>
          </cell>
          <cell r="G10">
            <v>1</v>
          </cell>
        </row>
        <row r="11">
          <cell r="G11">
            <v>2</v>
          </cell>
        </row>
        <row r="12">
          <cell r="G12">
            <v>3</v>
          </cell>
        </row>
        <row r="13">
          <cell r="G13">
            <v>4</v>
          </cell>
        </row>
        <row r="14">
          <cell r="G14">
            <v>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Mitigated VA"/>
      <sheetName val="Post-Mitigated VA"/>
      <sheetName val="Pre Safety Matrix"/>
      <sheetName val="Post Safety Matrix"/>
      <sheetName val="Pre Business Matrix"/>
      <sheetName val="Post Business Matrix"/>
      <sheetName val="TemplatePre"/>
      <sheetName val="TemplatePost"/>
      <sheetName val="Delay"/>
      <sheetName val="Delay2"/>
      <sheetName val="Delay3"/>
      <sheetName val="Properties"/>
      <sheetName val="Safety Risk Table"/>
      <sheetName val="Defined Values"/>
      <sheetName val="TraceInfoPreSafety"/>
      <sheetName val="TraceInfoPostSafety"/>
      <sheetName val="TraceInfoPreBusiness"/>
      <sheetName val="TraceInfoPostBusiness"/>
      <sheetName val="RMAoptions"/>
      <sheetName val="HazardOp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Undefined</v>
          </cell>
          <cell r="B2" t="str">
            <v>Incomplete, please enter this value</v>
          </cell>
          <cell r="C2">
            <v>0</v>
          </cell>
        </row>
        <row r="3">
          <cell r="A3" t="str">
            <v>Local</v>
          </cell>
          <cell r="B3" t="str">
            <v>A vulnerability exploitable with only local access requires the attacker to be in physical contact with the device. Examples of locally exploitable vulnerabilities are USB ports, Serial ports, JTAG debugging ports, etc.</v>
          </cell>
          <cell r="C3">
            <v>0.39500000000000002</v>
          </cell>
        </row>
        <row r="4">
          <cell r="A4" t="str">
            <v>Adjacent Network</v>
          </cell>
          <cell r="B4" t="str">
            <v>A vulnerability exploitable with adjacent network access requires the attacker to have access to either the broadcast or collision domain of the vulnerable software.  Examples of local networks include local IP subnet, Bluetooth, IEEE 802.11, local Ethernet segment and low power radio communications, with maximum range measured in hundreds of feet.</v>
          </cell>
          <cell r="C4">
            <v>0.64600000000000002</v>
          </cell>
        </row>
        <row r="5">
          <cell r="A5" t="str">
            <v>Network</v>
          </cell>
          <cell r="B5" t="str">
            <v>A vulnerability exploitable with network access means the vulnerable software is accessible via a network stack and the attacker does not require local network access or local access. Such a vulnerability is often termed “remotely exploitable”.  Wide area wireless networks (i.e. “cellular radio”) and broadcast radios would also be included in this category.</v>
          </cell>
          <cell r="C5">
            <v>1</v>
          </cell>
        </row>
        <row r="7">
          <cell r="A7" t="str">
            <v>Undefined</v>
          </cell>
          <cell r="B7" t="str">
            <v>Incomplete, please enter this value</v>
          </cell>
          <cell r="C7">
            <v>0</v>
          </cell>
        </row>
        <row r="8">
          <cell r="A8" t="str">
            <v>High</v>
          </cell>
          <cell r="B8" t="str">
            <v>Specialized access conditions exist. For example:
• The attack depends on the victim performing several suspicious or atypical actions.
• The vulnerable configuration is seen very rarely in practice.
• The vulnerability depends on narrow time window
• Requires specialized or expensive tools to exploit the vulnerability</v>
          </cell>
          <cell r="C8">
            <v>0.35</v>
          </cell>
        </row>
        <row r="9">
          <cell r="A9" t="str">
            <v>Medium</v>
          </cell>
          <cell r="B9" t="str">
            <v>The access conditions are somewhat specialized; the following are examples:
• The attacking party is limited to a group of systems or users at some level of Authorization, possibly untrusted.
• Some information must be gathered before a successful attack can be launched.
• The affected configuration is non-default, and is not commonly configured 
• The attack requires a small amount of social engineering that might occasionally fool cautious users.
• Requires insider knowledge of the device’s hardware of software design</v>
          </cell>
          <cell r="C9">
            <v>0.61</v>
          </cell>
        </row>
        <row r="10">
          <cell r="A10" t="str">
            <v>Low</v>
          </cell>
          <cell r="B10" t="str">
            <v>Specialized access conditions or extenuating circumstances do not exist. The following are examples: 
• The affected product typically requires access to a wide range of systems and users, possibly anonymous and untrusted.
• The affected configuration is default or ubiquitous.
• The attack can be performed manually and requires little skill or additional information gathering.
• The “race condition” is a lazy one (i.e., it is technically a race but easily winnable).
• Distributed system gives attacker all the tools and/or knowledge to exploit the vulnerability</v>
          </cell>
          <cell r="C10">
            <v>0.71</v>
          </cell>
        </row>
        <row r="12">
          <cell r="A12" t="str">
            <v>Undefined</v>
          </cell>
          <cell r="B12" t="str">
            <v>Incomplete, please enter this value</v>
          </cell>
          <cell r="C12">
            <v>0</v>
          </cell>
        </row>
        <row r="13">
          <cell r="A13" t="str">
            <v>None</v>
          </cell>
          <cell r="B13" t="str">
            <v>Authentication is not required to exploit the vulnerability.</v>
          </cell>
          <cell r="C13">
            <v>0.70399999999999996</v>
          </cell>
        </row>
        <row r="14">
          <cell r="A14" t="str">
            <v>Weak</v>
          </cell>
          <cell r="B14" t="str">
            <v>Authentication is easily defeated or uses a weak method for vetting.</v>
          </cell>
          <cell r="C14">
            <v>0.56000000000000005</v>
          </cell>
        </row>
        <row r="15">
          <cell r="A15" t="str">
            <v>Strong</v>
          </cell>
          <cell r="B15" t="str">
            <v>Authentication employs industry’s best practices for vetting the authenticity of the user or device</v>
          </cell>
          <cell r="C15">
            <v>0.45</v>
          </cell>
        </row>
        <row r="17">
          <cell r="A17" t="str">
            <v>Undefined</v>
          </cell>
          <cell r="B17" t="str">
            <v>Incomplete, please enter this value</v>
          </cell>
          <cell r="C17">
            <v>0</v>
          </cell>
        </row>
        <row r="18">
          <cell r="A18" t="str">
            <v>None</v>
          </cell>
          <cell r="B18" t="str">
            <v>There is no impact to the confidentiality of the system.</v>
          </cell>
          <cell r="C18">
            <v>0</v>
          </cell>
        </row>
        <row r="19">
          <cell r="A19" t="str">
            <v>Partial</v>
          </cell>
          <cell r="B19" t="str">
            <v>There is considerable informational disclosure. Access to some data (including executable) is possible, but the attacker does not have control over what is obtained, or the scope is constrained. An example is a vulnerability that divulges only certain fields of data.</v>
          </cell>
          <cell r="C19">
            <v>0.27500000000000002</v>
          </cell>
        </row>
        <row r="20">
          <cell r="A20" t="str">
            <v>Complete</v>
          </cell>
          <cell r="B20" t="str">
            <v>There is total information disclosure, resulting in all data (including executable) being revealed. The attacker is able to read all of the system's data (volatile or non-volatile memory, data streams, external communications, etc.)</v>
          </cell>
          <cell r="C20">
            <v>0.66</v>
          </cell>
        </row>
        <row r="22">
          <cell r="A22" t="str">
            <v>Undefined</v>
          </cell>
          <cell r="B22" t="str">
            <v>Incomplete, please enter this value</v>
          </cell>
          <cell r="C22">
            <v>0</v>
          </cell>
        </row>
        <row r="23">
          <cell r="A23" t="str">
            <v>None</v>
          </cell>
          <cell r="B23" t="str">
            <v>There is no impact to the integrity of the system.</v>
          </cell>
          <cell r="C23">
            <v>0</v>
          </cell>
        </row>
        <row r="24">
          <cell r="A24" t="str">
            <v>Partial</v>
          </cell>
          <cell r="B24" t="str">
            <v>Modification of some data (including executable) is possible, but the attacker does not have control over what can be modified, or the scope of what the attacker can affect is limited. 
For example, executable image may be overwritten but not read.</v>
          </cell>
          <cell r="C24">
            <v>0.27500000000000002</v>
          </cell>
        </row>
        <row r="25">
          <cell r="A25" t="str">
            <v>Complete</v>
          </cell>
          <cell r="B25" t="str">
            <v>There is a total compromise of system integrity. There is a complete loss of system protection, resulting in the entire system being compromised. 
The attacker is able to modify any data (including executable) on the target system.</v>
          </cell>
          <cell r="C25">
            <v>0.66</v>
          </cell>
        </row>
        <row r="27">
          <cell r="A27" t="str">
            <v>Undefined</v>
          </cell>
          <cell r="B27" t="str">
            <v>Incomplete, please enter this value</v>
          </cell>
          <cell r="C27">
            <v>0</v>
          </cell>
        </row>
        <row r="28">
          <cell r="A28" t="str">
            <v>None</v>
          </cell>
          <cell r="B28" t="str">
            <v>There is no impact to the availability of the system.</v>
          </cell>
          <cell r="C28">
            <v>0</v>
          </cell>
        </row>
        <row r="29">
          <cell r="A29" t="str">
            <v>Partial</v>
          </cell>
          <cell r="B29" t="str">
            <v>There is reduced performance or interruptions in resource availability. Reduced throughput or increased latency in responding to an event.
An example is a network-based flood attack that permits a limited number of successful connections to an Internet service.</v>
          </cell>
          <cell r="C29">
            <v>0.27500000000000002</v>
          </cell>
        </row>
        <row r="30">
          <cell r="A30" t="str">
            <v>Complete</v>
          </cell>
          <cell r="B30" t="str">
            <v>There is a total shutdown of the targeted device, rendering the device’s principal functionality non-operational.
The attacker can render the resource completely unavailable.</v>
          </cell>
          <cell r="C30">
            <v>0.66</v>
          </cell>
        </row>
        <row r="32">
          <cell r="A32" t="str">
            <v>Undefined</v>
          </cell>
          <cell r="B32" t="str">
            <v>Incomplete, please enter this value</v>
          </cell>
          <cell r="C32">
            <v>0</v>
          </cell>
        </row>
        <row r="33">
          <cell r="A33" t="str">
            <v>None</v>
          </cell>
          <cell r="B33" t="str">
            <v>There is no potential for loss of life, physical assets, productivity or revenue.</v>
          </cell>
          <cell r="C33">
            <v>0</v>
          </cell>
        </row>
        <row r="34">
          <cell r="A34" t="str">
            <v>Low</v>
          </cell>
          <cell r="B34" t="str">
            <v>A successful exploit of this vulnerability may result in slight physical or property damage. 
Or, there may be a slight loss of revenue or productivity.</v>
          </cell>
          <cell r="C34">
            <v>0.1</v>
          </cell>
        </row>
        <row r="35">
          <cell r="A35" t="str">
            <v>Low Medium</v>
          </cell>
          <cell r="B35" t="str">
            <v>A successful exploit of this vulnerability may result in moderate physical or property damage. 
Or, there may be a moderate loss of revenue or productivity.</v>
          </cell>
          <cell r="C35">
            <v>0.3</v>
          </cell>
        </row>
        <row r="36">
          <cell r="A36" t="str">
            <v>Medium High</v>
          </cell>
          <cell r="B36" t="str">
            <v>A successful exploit of this vulnerability may result in significant physical or property damage. 
Or, there may be a significant loss of revenue or productivity.</v>
          </cell>
          <cell r="C36">
            <v>0.4</v>
          </cell>
        </row>
        <row r="37">
          <cell r="A37" t="str">
            <v>High</v>
          </cell>
          <cell r="B37" t="str">
            <v>A successful exploit of this vulnerability may result in catastrophic physical or property destruction. 
Or, there may be a catastrophic loss of revenue or productivity.</v>
          </cell>
          <cell r="C37">
            <v>0.5</v>
          </cell>
        </row>
        <row r="45">
          <cell r="A45" t="str">
            <v>Undefined</v>
          </cell>
        </row>
        <row r="46">
          <cell r="A46" t="str">
            <v>No</v>
          </cell>
        </row>
        <row r="47">
          <cell r="A47" t="str">
            <v>Yes</v>
          </cell>
        </row>
        <row r="49">
          <cell r="A49" t="str">
            <v>Not Defined</v>
          </cell>
          <cell r="B49" t="str">
            <v>Incomplete, please enter this value</v>
          </cell>
          <cell r="C49">
            <v>1</v>
          </cell>
        </row>
        <row r="50">
          <cell r="A50" t="str">
            <v>Low</v>
          </cell>
          <cell r="B50" t="str">
            <v>Loss of confidentiality is likely to have only a limited adverse effect on the organization or users of the device.</v>
          </cell>
          <cell r="C50">
            <v>0.5</v>
          </cell>
        </row>
        <row r="51">
          <cell r="A51" t="str">
            <v>Medium</v>
          </cell>
          <cell r="B51" t="str">
            <v>Loss of confidentiality is likely to have a serious adverse effect on the organization or users of the device</v>
          </cell>
          <cell r="C51">
            <v>1</v>
          </cell>
        </row>
        <row r="52">
          <cell r="A52" t="str">
            <v>High</v>
          </cell>
          <cell r="B52" t="str">
            <v>Loss of confidentiality is likely to have a catastrophic adverse effect on the organization or users of the device</v>
          </cell>
          <cell r="C52">
            <v>1.51</v>
          </cell>
        </row>
        <row r="54">
          <cell r="A54" t="str">
            <v>Not Defined</v>
          </cell>
          <cell r="B54" t="str">
            <v>Incomplete, please enter this value</v>
          </cell>
          <cell r="C54">
            <v>1</v>
          </cell>
        </row>
        <row r="55">
          <cell r="A55" t="str">
            <v>Low</v>
          </cell>
          <cell r="B55" t="str">
            <v>Loss of integrity is likely to have only a limited adverse effect on the organization or users of the device.</v>
          </cell>
          <cell r="C55">
            <v>0.5</v>
          </cell>
        </row>
        <row r="56">
          <cell r="A56" t="str">
            <v>Medium</v>
          </cell>
          <cell r="B56" t="str">
            <v>Loss of integrity is likely to have a serious adverse effect on the organization or users of the device</v>
          </cell>
          <cell r="C56">
            <v>1</v>
          </cell>
        </row>
        <row r="57">
          <cell r="A57" t="str">
            <v>High</v>
          </cell>
          <cell r="B57" t="str">
            <v>Loss of  integrity is likely to have a catastrophic adverse effect on the organization or users of the device</v>
          </cell>
          <cell r="C57">
            <v>1.51</v>
          </cell>
        </row>
        <row r="59">
          <cell r="A59" t="str">
            <v>Not Defined</v>
          </cell>
          <cell r="B59" t="str">
            <v>Incomplete, please enter this value</v>
          </cell>
          <cell r="C59">
            <v>1</v>
          </cell>
        </row>
        <row r="60">
          <cell r="A60" t="str">
            <v>Low</v>
          </cell>
          <cell r="B60" t="str">
            <v>Loss of availability is likely to have only a limited adverse effect on the organization or users of the device.</v>
          </cell>
          <cell r="C60">
            <v>0.5</v>
          </cell>
        </row>
        <row r="61">
          <cell r="A61" t="str">
            <v>Medium</v>
          </cell>
          <cell r="B61" t="str">
            <v>Loss of availability is likely to have a serious adverse effect on the organization or users of the device</v>
          </cell>
          <cell r="C61">
            <v>1</v>
          </cell>
        </row>
        <row r="62">
          <cell r="A62" t="str">
            <v>High</v>
          </cell>
          <cell r="B62" t="str">
            <v>Loss of availability is likely to have a catastrophic adverse effect on the organization or users of the device</v>
          </cell>
          <cell r="C62">
            <v>1.51</v>
          </cell>
        </row>
      </sheetData>
      <sheetData sheetId="14"/>
      <sheetData sheetId="15"/>
      <sheetData sheetId="16"/>
      <sheetData sheetId="17"/>
      <sheetData sheetId="18"/>
      <sheetData sheetId="19"/>
    </sheetDataSet>
  </externalBook>
</externalLink>
</file>

<file path=xl/tables/table1.xml><?xml version="1.0" encoding="utf-8"?>
<table xmlns="http://schemas.openxmlformats.org/spreadsheetml/2006/main" id="1" name="CSVTable" displayName="CSVTable" ref="A1:BS62" totalsRowShown="0">
  <autoFilter ref="A1:BS62"/>
  <sortState ref="A2:BS62">
    <sortCondition ref="A1:A62"/>
  </sortState>
  <tableColumns count="71">
    <tableColumn id="1" name="Id"/>
    <tableColumn id="2" name="Title"/>
    <tableColumn id="3" name="Category"/>
    <tableColumn id="4" name="Diagram"/>
    <tableColumn id="5" name="Interaction"/>
    <tableColumn id="6" name="Priority"/>
    <tableColumn id="7" name="State"/>
    <tableColumn id="8" name="Changed By"/>
    <tableColumn id="9" name="Description"/>
    <tableColumn id="10" name="Justification"/>
    <tableColumn id="11" name="Last Modified"/>
    <tableColumn id="12" name="Possible Mitigation(s)"/>
    <tableColumn id="13" name="Velentium Vulnerability ID"/>
    <tableColumn id="14" name="Related CWEs"/>
    <tableColumn id="15" name="Source"/>
    <tableColumn id="16" name="Target"/>
    <tableColumn id="17" name="Source User: Command and Control Authorization Level"/>
    <tableColumn id="18" name="Source User: Therapy Delivery Information Authorization Level"/>
    <tableColumn id="19" name="Source User: Access to PII or PHI Authorization Level"/>
    <tableColumn id="20" name="Target User: Command and Control Authorization Level"/>
    <tableColumn id="21" name="Target User: Therapy Delivery Information Authorization Level"/>
    <tableColumn id="22" name="Target User: Access to PII or PHI Authorization Level"/>
    <tableColumn id="23" name="Source Process: Delivers Therapy"/>
    <tableColumn id="24" name="Source Process: Processes Alarms and Alerts"/>
    <tableColumn id="25" name="Source Process: Updateable"/>
    <tableColumn id="26" name="Source Process: Embedded Component Selection"/>
    <tableColumn id="27" name="Source Process: Hardware Security Module Component Selection"/>
    <tableColumn id="28" name="Source Process: Mobile Platform OS"/>
    <tableColumn id="29" name="Source Process: Mobile Platform Provided to User"/>
    <tableColumn id="30" name="Source Process: Desktop Platform OS"/>
    <tableColumn id="31" name="Source Process: Desktop Platform Provided to User"/>
    <tableColumn id="32" name="Source Process: Server Hosting Premise"/>
    <tableColumn id="33" name="Target Process: Delivers Therapy"/>
    <tableColumn id="34" name="Target Process: Processes Alarms and Alerts"/>
    <tableColumn id="35" name="Target Process: Updateable"/>
    <tableColumn id="36" name="Target Process: Embedded Component Selection"/>
    <tableColumn id="37" name="Target Process: Hardware Security Module Component Selection"/>
    <tableColumn id="38" name="Target Process: Mobile Platform OS"/>
    <tableColumn id="39" name="Target Process: Mobile Platform Provided to User"/>
    <tableColumn id="40" name="Target Process: Desktop Platform OS"/>
    <tableColumn id="41" name="Target Process: Desktop Platform Provided to User"/>
    <tableColumn id="42" name="Target Process: Server Hosting Premise"/>
    <tableColumn id="43" name="Source Data Store: Stores Intellectual Property"/>
    <tableColumn id="44" name="Source Data Store: Stores Executables"/>
    <tableColumn id="45" name="Source Data Store: Stores Credentials or Keys"/>
    <tableColumn id="46" name="Source Data Store: Stores PII or PHI"/>
    <tableColumn id="47" name="Source Data Store: Stores Logs"/>
    <tableColumn id="48" name="Source Data Store: Device Memory Type"/>
    <tableColumn id="49" name="Source Data Store: Device Memory Removable"/>
    <tableColumn id="50" name="Source Data Store: RAM Type"/>
    <tableColumn id="51" name="Target Data Store: Stores Intellectual Property"/>
    <tableColumn id="52" name="Target Data Store: Stores Executables"/>
    <tableColumn id="53" name="Target Data Store: Stores Credentials or Keys"/>
    <tableColumn id="54" name="Target Data Store: Stores PII or PHI"/>
    <tableColumn id="55" name="Target Data Store: Stores Logs"/>
    <tableColumn id="56" name="Target Data Store: Device Memory Type"/>
    <tableColumn id="57" name="Target Data Store: Device Memory Removable"/>
    <tableColumn id="58" name="Target Data Store: RAM Type"/>
    <tableColumn id="59" name="Data Flow: Communication Type"/>
    <tableColumn id="60" name="Data Flow: Communication Medium"/>
    <tableColumn id="61" name="Data Flow: Access Vector"/>
    <tableColumn id="62" name="Data Flow: Protocol Basis"/>
    <tableColumn id="63" name="Data Flow: Firmware Update Path"/>
    <tableColumn id="64" name="Data Flow: Contains Commands"/>
    <tableColumn id="65" name="Data Flow: Contains Notifications or Alarms or Alerts"/>
    <tableColumn id="66" name="Data Flow: Contains Intellectual Property"/>
    <tableColumn id="67" name="Data Flow: Contains Credentials or Keys"/>
    <tableColumn id="68" name="Data Flow: Contains PII or PHI"/>
    <tableColumn id="69" name="Data Flow: Contains Logs"/>
    <tableColumn id="70" name="Data Flow: Maximum Time Delay"/>
    <tableColumn id="71" name="Data Flow: Embedded Communication Protoco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66"/>
  <sheetViews>
    <sheetView zoomScale="90" zoomScaleNormal="90" workbookViewId="0">
      <pane xSplit="5" ySplit="5" topLeftCell="F55" activePane="bottomRight" state="frozen"/>
      <selection pane="topRight" activeCell="F1" sqref="F1"/>
      <selection pane="bottomLeft" activeCell="A6" sqref="A6"/>
      <selection pane="bottomRight" activeCell="X15" sqref="X15"/>
    </sheetView>
  </sheetViews>
  <sheetFormatPr defaultColWidth="9.109375" defaultRowHeight="13.2" x14ac:dyDescent="0.25"/>
  <cols>
    <col min="1" max="1" width="5" style="37" customWidth="1"/>
    <col min="2" max="2" width="23.109375" style="12" customWidth="1"/>
    <col min="3" max="3" width="14.33203125" style="12" customWidth="1"/>
    <col min="4" max="4" width="49.88671875" style="12" customWidth="1"/>
    <col min="5" max="5" width="11.44140625" customWidth="1"/>
    <col min="6" max="6" width="14.21875" style="12" customWidth="1"/>
    <col min="7" max="7" width="28.109375" hidden="1" customWidth="1"/>
    <col min="8" max="8" width="14.21875" customWidth="1"/>
    <col min="9" max="9" width="28.77734375" hidden="1" customWidth="1"/>
    <col min="10" max="10" width="14.21875" style="12" customWidth="1"/>
    <col min="11" max="11" width="30.44140625" hidden="1" customWidth="1"/>
    <col min="12" max="12" width="14.21875" customWidth="1"/>
    <col min="13" max="13" width="33.44140625" hidden="1" customWidth="1"/>
    <col min="14" max="14" width="14.21875" customWidth="1"/>
    <col min="15" max="15" width="12.21875" hidden="1" customWidth="1"/>
    <col min="16" max="16" width="14.21875" customWidth="1"/>
    <col min="17" max="17" width="12.21875" hidden="1" customWidth="1"/>
    <col min="18" max="18" width="14.21875" customWidth="1"/>
    <col min="19" max="19" width="27.21875" hidden="1" customWidth="1"/>
    <col min="20" max="20" width="15.6640625" hidden="1" customWidth="1"/>
    <col min="21" max="21" width="0.109375" hidden="1" customWidth="1"/>
    <col min="22" max="22" width="12.5546875" customWidth="1"/>
    <col min="23" max="23" width="31.5546875" style="19" customWidth="1"/>
    <col min="24" max="24" width="67" style="19" customWidth="1"/>
    <col min="25" max="25" width="28.109375" style="12" customWidth="1"/>
    <col min="26" max="26" width="23.44140625" customWidth="1"/>
    <col min="27" max="48" width="10.6640625" hidden="1" customWidth="1"/>
    <col min="49" max="49" width="17.6640625" hidden="1" customWidth="1"/>
    <col min="50" max="50" width="16.77734375" hidden="1" customWidth="1"/>
    <col min="51" max="51" width="17.6640625" hidden="1" customWidth="1"/>
    <col min="52" max="52" width="19.21875" hidden="1" customWidth="1"/>
    <col min="53" max="53" width="18.44140625" customWidth="1"/>
    <col min="54" max="54" width="19.21875" customWidth="1"/>
    <col min="55" max="55" width="19.6640625" customWidth="1"/>
    <col min="56" max="56" width="21.44140625" customWidth="1"/>
    <col min="57" max="57" width="21.77734375" customWidth="1"/>
    <col min="58" max="58" width="23.33203125" customWidth="1"/>
    <col min="59" max="59" width="23.44140625" customWidth="1"/>
    <col min="60" max="60" width="10.109375" customWidth="1"/>
    <col min="61" max="61" width="24.44140625" customWidth="1"/>
  </cols>
  <sheetData>
    <row r="1" spans="1:57" ht="24.6" x14ac:dyDescent="0.4">
      <c r="A1" s="64" t="s">
        <v>127</v>
      </c>
      <c r="B1" s="64"/>
      <c r="C1" s="64"/>
      <c r="D1" s="64"/>
      <c r="E1" s="64"/>
      <c r="F1" s="65"/>
      <c r="G1" s="65"/>
      <c r="H1" s="65"/>
      <c r="I1" s="65"/>
      <c r="J1" s="65"/>
      <c r="K1" s="65"/>
      <c r="L1" s="65"/>
      <c r="M1" s="65"/>
      <c r="N1" s="65"/>
      <c r="O1" s="65"/>
      <c r="P1" s="65"/>
      <c r="Q1" s="65"/>
      <c r="R1" s="65"/>
      <c r="S1" s="65"/>
      <c r="T1" s="65"/>
      <c r="U1" s="65"/>
      <c r="V1" s="65"/>
      <c r="W1" s="65"/>
      <c r="X1" s="65"/>
      <c r="Y1" s="33"/>
      <c r="Z1" s="17"/>
    </row>
    <row r="2" spans="1:57" s="21" customFormat="1" ht="15" customHeight="1" x14ac:dyDescent="0.25">
      <c r="A2" s="58" t="s">
        <v>75</v>
      </c>
      <c r="B2" s="62"/>
      <c r="C2" s="62"/>
      <c r="D2" s="62"/>
      <c r="E2" s="59"/>
      <c r="F2" s="58" t="s">
        <v>122</v>
      </c>
      <c r="G2" s="62"/>
      <c r="H2" s="62"/>
      <c r="I2" s="62"/>
      <c r="J2" s="62"/>
      <c r="K2" s="62"/>
      <c r="L2" s="62"/>
      <c r="M2" s="62"/>
      <c r="N2" s="62"/>
      <c r="O2" s="62"/>
      <c r="P2" s="62"/>
      <c r="Q2" s="62"/>
      <c r="R2" s="62"/>
      <c r="S2" s="62"/>
      <c r="T2" s="62"/>
      <c r="U2" s="62"/>
      <c r="V2" s="59"/>
      <c r="W2" s="58" t="s">
        <v>118</v>
      </c>
      <c r="X2" s="59"/>
      <c r="Y2"/>
      <c r="Z2" s="20"/>
    </row>
    <row r="3" spans="1:57" s="21" customFormat="1" ht="15" customHeight="1" x14ac:dyDescent="0.25">
      <c r="A3" s="60"/>
      <c r="B3" s="63"/>
      <c r="C3" s="63"/>
      <c r="D3" s="63"/>
      <c r="E3" s="61"/>
      <c r="F3" s="60"/>
      <c r="G3" s="63"/>
      <c r="H3" s="63"/>
      <c r="I3" s="63"/>
      <c r="J3" s="63"/>
      <c r="K3" s="63"/>
      <c r="L3" s="63"/>
      <c r="M3" s="63"/>
      <c r="N3" s="63"/>
      <c r="O3" s="63"/>
      <c r="P3" s="63"/>
      <c r="Q3" s="63"/>
      <c r="R3" s="63"/>
      <c r="S3" s="63"/>
      <c r="T3" s="63"/>
      <c r="U3" s="63"/>
      <c r="V3" s="61"/>
      <c r="W3" s="60"/>
      <c r="X3" s="61"/>
      <c r="Y3"/>
      <c r="Z3" s="18"/>
    </row>
    <row r="4" spans="1:57" s="21" customFormat="1" ht="15" customHeight="1" x14ac:dyDescent="0.25">
      <c r="A4" s="66" t="s">
        <v>1</v>
      </c>
      <c r="B4" s="66" t="s">
        <v>29</v>
      </c>
      <c r="C4" s="66" t="s">
        <v>31</v>
      </c>
      <c r="D4" s="66" t="s">
        <v>0</v>
      </c>
      <c r="E4" s="66" t="s">
        <v>109</v>
      </c>
      <c r="F4" s="73" t="s">
        <v>124</v>
      </c>
      <c r="G4" s="74"/>
      <c r="H4" s="74"/>
      <c r="I4" s="74"/>
      <c r="J4" s="75"/>
      <c r="K4" s="48"/>
      <c r="L4" s="73" t="s">
        <v>125</v>
      </c>
      <c r="M4" s="74"/>
      <c r="N4" s="74"/>
      <c r="O4" s="74"/>
      <c r="P4" s="75"/>
      <c r="Q4" s="48"/>
      <c r="R4" s="49" t="s">
        <v>126</v>
      </c>
      <c r="S4" s="41"/>
      <c r="T4" s="68"/>
      <c r="U4" s="41"/>
      <c r="V4" s="72" t="s">
        <v>120</v>
      </c>
      <c r="W4" s="70" t="s">
        <v>110</v>
      </c>
      <c r="X4" s="66" t="s">
        <v>112</v>
      </c>
      <c r="Y4"/>
      <c r="Z4" s="11"/>
      <c r="AA4" s="67"/>
      <c r="AB4" s="67"/>
      <c r="AC4" s="67"/>
      <c r="AD4" s="67"/>
      <c r="AF4" s="67"/>
      <c r="AG4" s="67"/>
      <c r="AH4" s="67"/>
      <c r="AI4" s="67"/>
      <c r="AJ4" s="67"/>
      <c r="AK4" s="67"/>
      <c r="BE4" s="22"/>
    </row>
    <row r="5" spans="1:57" s="21" customFormat="1" ht="41.25" customHeight="1" x14ac:dyDescent="0.25">
      <c r="A5" s="66"/>
      <c r="B5" s="66"/>
      <c r="C5" s="66"/>
      <c r="D5" s="66"/>
      <c r="E5" s="66"/>
      <c r="F5" s="47" t="s">
        <v>117</v>
      </c>
      <c r="G5" s="47"/>
      <c r="H5" s="47" t="s">
        <v>5</v>
      </c>
      <c r="I5" s="47"/>
      <c r="J5" s="47" t="s">
        <v>6</v>
      </c>
      <c r="K5" s="47"/>
      <c r="L5" s="47" t="s">
        <v>7</v>
      </c>
      <c r="M5" s="47"/>
      <c r="N5" s="47" t="s">
        <v>8</v>
      </c>
      <c r="O5" s="47"/>
      <c r="P5" s="47" t="s">
        <v>9</v>
      </c>
      <c r="Q5" s="47"/>
      <c r="R5" s="47" t="s">
        <v>10</v>
      </c>
      <c r="S5" s="41" t="s">
        <v>30</v>
      </c>
      <c r="T5" s="69"/>
      <c r="U5" s="41" t="s">
        <v>30</v>
      </c>
      <c r="V5" s="72"/>
      <c r="W5" s="71"/>
      <c r="X5" s="66"/>
      <c r="Y5"/>
      <c r="Z5" s="11"/>
      <c r="AA5" s="23" t="s">
        <v>76</v>
      </c>
      <c r="AB5" s="23" t="s">
        <v>77</v>
      </c>
      <c r="AC5" s="23" t="s">
        <v>78</v>
      </c>
      <c r="AD5" s="23" t="s">
        <v>79</v>
      </c>
      <c r="AE5" s="23" t="s">
        <v>34</v>
      </c>
      <c r="AF5" s="23" t="s">
        <v>35</v>
      </c>
      <c r="AG5" s="23" t="s">
        <v>80</v>
      </c>
      <c r="AH5" s="23" t="s">
        <v>81</v>
      </c>
      <c r="AI5" s="23" t="s">
        <v>82</v>
      </c>
      <c r="AJ5" s="23" t="s">
        <v>83</v>
      </c>
      <c r="AK5" s="23" t="s">
        <v>84</v>
      </c>
      <c r="AL5" s="23" t="s">
        <v>85</v>
      </c>
      <c r="AM5" s="23" t="s">
        <v>28</v>
      </c>
      <c r="AN5" s="23" t="s">
        <v>86</v>
      </c>
      <c r="AO5" s="23" t="s">
        <v>27</v>
      </c>
      <c r="AP5" s="23" t="s">
        <v>87</v>
      </c>
      <c r="AQ5" s="23" t="s">
        <v>88</v>
      </c>
      <c r="AR5" s="23" t="s">
        <v>89</v>
      </c>
      <c r="AS5" s="23" t="s">
        <v>90</v>
      </c>
      <c r="AT5" s="23" t="s">
        <v>91</v>
      </c>
      <c r="AU5" s="23" t="s">
        <v>92</v>
      </c>
      <c r="AV5" s="24" t="s">
        <v>106</v>
      </c>
      <c r="AZ5" s="25"/>
      <c r="BA5" s="25"/>
      <c r="BB5" s="25"/>
    </row>
    <row r="6" spans="1:57" ht="102" customHeight="1" x14ac:dyDescent="0.25">
      <c r="A6" s="57">
        <v>1</v>
      </c>
      <c r="B6" s="29" t="s">
        <v>196</v>
      </c>
      <c r="C6" s="29" t="s">
        <v>414</v>
      </c>
      <c r="D6" s="29" t="s">
        <v>201</v>
      </c>
      <c r="E6" s="42" t="s">
        <v>33</v>
      </c>
      <c r="F6" s="27" t="s">
        <v>12</v>
      </c>
      <c r="G6" s="27"/>
      <c r="H6" s="27" t="s">
        <v>3</v>
      </c>
      <c r="I6" s="27"/>
      <c r="J6" s="27" t="s">
        <v>53</v>
      </c>
      <c r="K6" s="27"/>
      <c r="L6" s="27" t="s">
        <v>16</v>
      </c>
      <c r="M6" s="27"/>
      <c r="N6" s="27" t="s">
        <v>15</v>
      </c>
      <c r="O6" s="27"/>
      <c r="P6" s="27" t="s">
        <v>15</v>
      </c>
      <c r="Q6" s="27"/>
      <c r="R6" s="31" t="s">
        <v>65</v>
      </c>
      <c r="S6" s="27"/>
      <c r="T6" s="31" t="s">
        <v>15</v>
      </c>
      <c r="U6" s="27"/>
      <c r="V6" s="28">
        <f>IF($AV6,"INCOMPLETE", IF(AT6&lt;0,0,AT6))</f>
        <v>5.6</v>
      </c>
      <c r="W6" s="34" t="s">
        <v>464</v>
      </c>
      <c r="X6" s="50" t="s">
        <v>203</v>
      </c>
      <c r="Y6" s="40"/>
      <c r="Z6" s="40"/>
      <c r="AA6">
        <f t="shared" ref="AA6:AA37" si="0">IF( $AV6 = FALSE,VLOOKUP($F6,Access_Vector,3,FALSE),0)</f>
        <v>0.39500000000000002</v>
      </c>
      <c r="AB6">
        <f t="shared" ref="AB6:AB37" si="1">IF( $AV6= FALSE,VLOOKUP($H6,Access_Complexity,3,FALSE),0)</f>
        <v>0.71</v>
      </c>
      <c r="AC6">
        <f t="shared" ref="AC6:AC37" si="2">IF($AV6=FALSE,VLOOKUP($J6,Authentication,3,FALSE),0)</f>
        <v>0.56000000000000005</v>
      </c>
      <c r="AD6">
        <f t="shared" ref="AD6:AD37" si="3">IF( $AV6=FALSE,VLOOKUP($L6,Confidentiality_Impact,3,FALSE),0)</f>
        <v>0.27500000000000002</v>
      </c>
      <c r="AE6">
        <f t="shared" ref="AE6:AE37" si="4">IF( $AV6=FALSE,VLOOKUP($N6,Integrity_Impact,3,FALSE),0)</f>
        <v>0</v>
      </c>
      <c r="AF6">
        <f t="shared" ref="AF6:AF37" si="5">IF( $AV6=FALSE,VLOOKUP($P6,Availability_Impact,3,FALSE),0)</f>
        <v>0</v>
      </c>
      <c r="AG6">
        <f t="shared" ref="AG6:AG37" si="6">IF($AV6=FALSE, ROUND(((0.6*$AM6)+(0.4*$AN6)-1.5)*$AO6,1), 0)</f>
        <v>1.7</v>
      </c>
      <c r="AH6">
        <f t="shared" ref="AH6:AH37" si="7">IF( $AV6=FALSE,VLOOKUP($R6,Collateral_Damage_Potential,3,FALSE),0)</f>
        <v>0.4</v>
      </c>
      <c r="AI6">
        <f t="shared" ref="AI6:AI37" si="8">IF($AV6=FALSE,VLOOKUP($T6,Awareness,3,FALSE),0)</f>
        <v>0</v>
      </c>
      <c r="AJ6">
        <f>IF( $AV6=FALSE,VLOOKUP(Properties!$B$4, Confidentiality_Requirement,3,FALSE),0)</f>
        <v>1.51</v>
      </c>
      <c r="AK6">
        <f>IF( $AV6=FALSE,VLOOKUP(Properties!$B$5, Integrity_Requirement,3,FALSE),0)</f>
        <v>1.51</v>
      </c>
      <c r="AL6">
        <f>IF( $AV6=FALSE,VLOOKUP(Properties!$B$6, Availability_Requirement,3,FALSE),0)</f>
        <v>1.51</v>
      </c>
      <c r="AM6" s="14">
        <f t="shared" ref="AM6:AM37" si="9">10.41*(1-(1-$AD6)*(1-$AE6)*(1-$AF6))</f>
        <v>2.8627500000000001</v>
      </c>
      <c r="AN6" s="14">
        <f t="shared" ref="AN6:AN37" si="10">20*$AB6*$AC6*$AA6</f>
        <v>3.1410400000000003</v>
      </c>
      <c r="AO6" s="4">
        <f t="shared" ref="AO6:AO37" si="11">IF(($AM6 &gt; 0), 1.176, 0)</f>
        <v>1.1759999999999999</v>
      </c>
      <c r="AP6" s="15">
        <f t="shared" ref="AP6:AP37" si="12">ROUND(MIN(10, 10.41*(1-(1-($AD6*$AJ6))*(1-($AE6*$AK6))*(1-($AF6*$AL6)))),1)</f>
        <v>4.3</v>
      </c>
      <c r="AQ6" s="15">
        <f t="shared" ref="AQ6:AQ37" si="13">ROUND(($AR6*1*1*1),1)</f>
        <v>2.7</v>
      </c>
      <c r="AR6" s="15">
        <f t="shared" ref="AR6:AR37" si="14">ROUND((((0.6*$AP6)+(0.4*$AN6)-1.5)*$AO6),1)</f>
        <v>2.7</v>
      </c>
      <c r="AS6" s="15">
        <f t="shared" ref="AS6:AS37" si="15">ROUND(($AQ6+(10-$AQ6)*$AH6),1)</f>
        <v>5.6</v>
      </c>
      <c r="AT6">
        <f t="shared" ref="AT6:AT37" si="16">+IF($AU6=0, $AG6, $AU6)</f>
        <v>5.6</v>
      </c>
      <c r="AU6">
        <f t="shared" ref="AU6:AU37" si="17">ROUND(($AS6-($AS6 * $AI6)),1)</f>
        <v>5.6</v>
      </c>
      <c r="AV6" t="b">
        <f t="shared" ref="AV6:AV37" si="18">IF(OR(E6="Undefined",F6="Undefined",H6="Undefined",J6="Undefined",L6="Undefined",N6="Undefined",P6="Undefined",R6="Undefined",T6="Undefined"),TRUE, FALSE)</f>
        <v>0</v>
      </c>
    </row>
    <row r="7" spans="1:57" ht="61.95" customHeight="1" x14ac:dyDescent="0.25">
      <c r="A7" s="57">
        <v>2</v>
      </c>
      <c r="B7" s="29" t="s">
        <v>247</v>
      </c>
      <c r="C7" s="29" t="s">
        <v>415</v>
      </c>
      <c r="D7" s="29" t="s">
        <v>249</v>
      </c>
      <c r="E7" s="42" t="s">
        <v>33</v>
      </c>
      <c r="F7" s="27" t="s">
        <v>12</v>
      </c>
      <c r="G7" s="27"/>
      <c r="H7" s="27" t="s">
        <v>11</v>
      </c>
      <c r="I7" s="27"/>
      <c r="J7" s="27" t="s">
        <v>53</v>
      </c>
      <c r="K7" s="27"/>
      <c r="L7" s="27" t="s">
        <v>16</v>
      </c>
      <c r="M7" s="27"/>
      <c r="N7" s="27" t="s">
        <v>17</v>
      </c>
      <c r="O7" s="27"/>
      <c r="P7" s="27" t="s">
        <v>16</v>
      </c>
      <c r="Q7" s="27"/>
      <c r="R7" s="31" t="s">
        <v>65</v>
      </c>
      <c r="S7" s="27"/>
      <c r="T7" s="31" t="s">
        <v>15</v>
      </c>
      <c r="U7" s="27"/>
      <c r="V7" s="28">
        <f>IF($AV7,"INCOMPLETE", IF(AT7&lt;0,0,AT7))</f>
        <v>8</v>
      </c>
      <c r="W7" s="34" t="s">
        <v>463</v>
      </c>
      <c r="X7" s="50" t="s">
        <v>250</v>
      </c>
      <c r="Y7" s="40"/>
      <c r="Z7" s="40"/>
      <c r="AA7">
        <f t="shared" si="0"/>
        <v>0.39500000000000002</v>
      </c>
      <c r="AB7">
        <f t="shared" si="1"/>
        <v>0.61</v>
      </c>
      <c r="AC7">
        <f t="shared" si="2"/>
        <v>0.56000000000000005</v>
      </c>
      <c r="AD7">
        <f t="shared" si="3"/>
        <v>0.27500000000000002</v>
      </c>
      <c r="AE7">
        <f t="shared" si="4"/>
        <v>0.66</v>
      </c>
      <c r="AF7">
        <f t="shared" si="5"/>
        <v>0.27500000000000002</v>
      </c>
      <c r="AG7">
        <f t="shared" si="6"/>
        <v>5.5</v>
      </c>
      <c r="AH7">
        <f t="shared" si="7"/>
        <v>0.4</v>
      </c>
      <c r="AI7">
        <f t="shared" si="8"/>
        <v>0</v>
      </c>
      <c r="AJ7">
        <f>IF( $AV7=FALSE,VLOOKUP(Properties!$B$4, Confidentiality_Requirement,3,FALSE),0)</f>
        <v>1.51</v>
      </c>
      <c r="AK7">
        <f>IF( $AV7=FALSE,VLOOKUP(Properties!$B$5, Integrity_Requirement,3,FALSE),0)</f>
        <v>1.51</v>
      </c>
      <c r="AL7">
        <f>IF( $AV7=FALSE,VLOOKUP(Properties!$B$6, Availability_Requirement,3,FALSE),0)</f>
        <v>1.51</v>
      </c>
      <c r="AM7" s="14">
        <f t="shared" si="9"/>
        <v>8.5496028750000015</v>
      </c>
      <c r="AN7" s="14">
        <f t="shared" si="10"/>
        <v>2.6986400000000001</v>
      </c>
      <c r="AO7" s="4">
        <f t="shared" si="11"/>
        <v>1.1759999999999999</v>
      </c>
      <c r="AP7" s="15">
        <f t="shared" si="12"/>
        <v>10</v>
      </c>
      <c r="AQ7" s="15">
        <f t="shared" si="13"/>
        <v>6.6</v>
      </c>
      <c r="AR7" s="15">
        <f t="shared" si="14"/>
        <v>6.6</v>
      </c>
      <c r="AS7" s="15">
        <f t="shared" si="15"/>
        <v>8</v>
      </c>
      <c r="AT7">
        <f t="shared" si="16"/>
        <v>8</v>
      </c>
      <c r="AU7">
        <f t="shared" si="17"/>
        <v>8</v>
      </c>
      <c r="AV7" t="b">
        <f t="shared" si="18"/>
        <v>0</v>
      </c>
    </row>
    <row r="8" spans="1:57" ht="146.4" customHeight="1" x14ac:dyDescent="0.25">
      <c r="A8" s="57">
        <v>3</v>
      </c>
      <c r="B8" s="29" t="s">
        <v>253</v>
      </c>
      <c r="C8" s="29" t="s">
        <v>416</v>
      </c>
      <c r="D8" s="29" t="s">
        <v>255</v>
      </c>
      <c r="E8" s="42" t="s">
        <v>32</v>
      </c>
      <c r="F8" s="27" t="s">
        <v>12</v>
      </c>
      <c r="G8" s="27"/>
      <c r="H8" s="27" t="s">
        <v>3</v>
      </c>
      <c r="I8" s="27"/>
      <c r="J8" s="27" t="s">
        <v>15</v>
      </c>
      <c r="K8" s="27"/>
      <c r="L8" s="27" t="s">
        <v>16</v>
      </c>
      <c r="M8" s="27"/>
      <c r="N8" s="27" t="s">
        <v>17</v>
      </c>
      <c r="O8" s="27"/>
      <c r="P8" s="27" t="s">
        <v>16</v>
      </c>
      <c r="Q8" s="27"/>
      <c r="R8" s="31" t="s">
        <v>63</v>
      </c>
      <c r="S8" s="27"/>
      <c r="T8" s="31" t="s">
        <v>15</v>
      </c>
      <c r="U8" s="27"/>
      <c r="V8" s="28">
        <f>IF($AV8,"INCOMPLETE", IF(AT8&lt;0,0,AT8))</f>
        <v>8</v>
      </c>
      <c r="W8" s="34" t="s">
        <v>488</v>
      </c>
      <c r="X8" s="50" t="s">
        <v>256</v>
      </c>
      <c r="Y8" s="40"/>
      <c r="Z8" s="40"/>
      <c r="AA8">
        <f t="shared" si="0"/>
        <v>0.39500000000000002</v>
      </c>
      <c r="AB8">
        <f t="shared" si="1"/>
        <v>0.71</v>
      </c>
      <c r="AC8">
        <f t="shared" si="2"/>
        <v>0.70399999999999996</v>
      </c>
      <c r="AD8">
        <f t="shared" si="3"/>
        <v>0.27500000000000002</v>
      </c>
      <c r="AE8">
        <f t="shared" si="4"/>
        <v>0.66</v>
      </c>
      <c r="AF8">
        <f t="shared" si="5"/>
        <v>0.27500000000000002</v>
      </c>
      <c r="AG8">
        <f t="shared" si="6"/>
        <v>6.1</v>
      </c>
      <c r="AH8">
        <f t="shared" si="7"/>
        <v>0.3</v>
      </c>
      <c r="AI8">
        <f t="shared" si="8"/>
        <v>0</v>
      </c>
      <c r="AJ8">
        <f>IF( $AV8=FALSE,VLOOKUP(Properties!$B$4, Confidentiality_Requirement,3,FALSE),0)</f>
        <v>1.51</v>
      </c>
      <c r="AK8">
        <f>IF( $AV8=FALSE,VLOOKUP(Properties!$B$5, Integrity_Requirement,3,FALSE),0)</f>
        <v>1.51</v>
      </c>
      <c r="AL8">
        <f>IF( $AV8=FALSE,VLOOKUP(Properties!$B$6, Availability_Requirement,3,FALSE),0)</f>
        <v>1.51</v>
      </c>
      <c r="AM8" s="14">
        <f t="shared" si="9"/>
        <v>8.5496028750000015</v>
      </c>
      <c r="AN8" s="14">
        <f t="shared" si="10"/>
        <v>3.9487359999999998</v>
      </c>
      <c r="AO8" s="4">
        <f t="shared" si="11"/>
        <v>1.1759999999999999</v>
      </c>
      <c r="AP8" s="15">
        <f t="shared" si="12"/>
        <v>10</v>
      </c>
      <c r="AQ8" s="15">
        <f t="shared" si="13"/>
        <v>7.1</v>
      </c>
      <c r="AR8" s="15">
        <f t="shared" si="14"/>
        <v>7.1</v>
      </c>
      <c r="AS8" s="15">
        <f t="shared" si="15"/>
        <v>8</v>
      </c>
      <c r="AT8">
        <f t="shared" si="16"/>
        <v>8</v>
      </c>
      <c r="AU8">
        <f t="shared" si="17"/>
        <v>8</v>
      </c>
      <c r="AV8" t="b">
        <f t="shared" si="18"/>
        <v>0</v>
      </c>
    </row>
    <row r="9" spans="1:57" ht="92.4" customHeight="1" x14ac:dyDescent="0.25">
      <c r="A9" s="39">
        <v>4</v>
      </c>
      <c r="B9" s="29" t="s">
        <v>259</v>
      </c>
      <c r="C9" s="29" t="s">
        <v>417</v>
      </c>
      <c r="D9" s="29" t="s">
        <v>261</v>
      </c>
      <c r="E9" s="42" t="s">
        <v>45</v>
      </c>
      <c r="F9" s="27" t="s">
        <v>45</v>
      </c>
      <c r="G9" s="27"/>
      <c r="H9" s="27" t="s">
        <v>45</v>
      </c>
      <c r="I9" s="27"/>
      <c r="J9" s="27" t="s">
        <v>45</v>
      </c>
      <c r="K9" s="27"/>
      <c r="L9" s="27" t="s">
        <v>45</v>
      </c>
      <c r="M9" s="27"/>
      <c r="N9" s="27" t="s">
        <v>45</v>
      </c>
      <c r="O9" s="27"/>
      <c r="P9" s="27" t="s">
        <v>45</v>
      </c>
      <c r="Q9" s="27"/>
      <c r="R9" s="31" t="s">
        <v>45</v>
      </c>
      <c r="S9" s="27"/>
      <c r="T9" s="31" t="s">
        <v>15</v>
      </c>
      <c r="U9" s="27"/>
      <c r="V9" s="28" t="str">
        <f>IF($AV9,"INCOMPLETE", IF(AT9&lt;0,0,AT9))</f>
        <v>INCOMPLETE</v>
      </c>
      <c r="W9" s="34"/>
      <c r="X9" s="50" t="s">
        <v>262</v>
      </c>
      <c r="Y9" s="40"/>
      <c r="Z9" s="40"/>
      <c r="AA9">
        <f t="shared" si="0"/>
        <v>0</v>
      </c>
      <c r="AB9">
        <f t="shared" si="1"/>
        <v>0</v>
      </c>
      <c r="AC9">
        <f t="shared" si="2"/>
        <v>0</v>
      </c>
      <c r="AD9">
        <f t="shared" si="3"/>
        <v>0</v>
      </c>
      <c r="AE9">
        <f t="shared" si="4"/>
        <v>0</v>
      </c>
      <c r="AF9">
        <f t="shared" si="5"/>
        <v>0</v>
      </c>
      <c r="AG9">
        <f t="shared" si="6"/>
        <v>0</v>
      </c>
      <c r="AH9">
        <f t="shared" si="7"/>
        <v>0</v>
      </c>
      <c r="AI9">
        <f t="shared" si="8"/>
        <v>0</v>
      </c>
      <c r="AJ9">
        <f>IF( $AV9=FALSE,VLOOKUP(Properties!$B$4, Confidentiality_Requirement,3,FALSE),0)</f>
        <v>0</v>
      </c>
      <c r="AK9">
        <f>IF( $AV9=FALSE,VLOOKUP(Properties!$B$5, Integrity_Requirement,3,FALSE),0)</f>
        <v>0</v>
      </c>
      <c r="AL9">
        <f>IF( $AV9=FALSE,VLOOKUP(Properties!$B$6, Availability_Requirement,3,FALSE),0)</f>
        <v>0</v>
      </c>
      <c r="AM9" s="14">
        <f t="shared" si="9"/>
        <v>0</v>
      </c>
      <c r="AN9" s="14">
        <f t="shared" si="10"/>
        <v>0</v>
      </c>
      <c r="AO9" s="4">
        <f t="shared" si="11"/>
        <v>0</v>
      </c>
      <c r="AP9" s="15">
        <f t="shared" si="12"/>
        <v>0</v>
      </c>
      <c r="AQ9" s="15">
        <f t="shared" si="13"/>
        <v>0</v>
      </c>
      <c r="AR9" s="15">
        <f t="shared" si="14"/>
        <v>0</v>
      </c>
      <c r="AS9" s="15">
        <f t="shared" si="15"/>
        <v>0</v>
      </c>
      <c r="AT9">
        <f t="shared" si="16"/>
        <v>0</v>
      </c>
      <c r="AU9">
        <f t="shared" si="17"/>
        <v>0</v>
      </c>
      <c r="AV9" t="b">
        <f t="shared" si="18"/>
        <v>1</v>
      </c>
    </row>
    <row r="10" spans="1:57" ht="160.19999999999999" customHeight="1" x14ac:dyDescent="0.25">
      <c r="A10" s="39">
        <v>5</v>
      </c>
      <c r="B10" s="29" t="s">
        <v>265</v>
      </c>
      <c r="C10" s="29" t="s">
        <v>418</v>
      </c>
      <c r="D10" s="29" t="s">
        <v>267</v>
      </c>
      <c r="E10" s="42" t="s">
        <v>45</v>
      </c>
      <c r="F10" s="27" t="s">
        <v>45</v>
      </c>
      <c r="G10" s="27"/>
      <c r="H10" s="27" t="s">
        <v>45</v>
      </c>
      <c r="I10" s="27"/>
      <c r="J10" s="27" t="s">
        <v>45</v>
      </c>
      <c r="K10" s="27"/>
      <c r="L10" s="27" t="s">
        <v>45</v>
      </c>
      <c r="M10" s="27"/>
      <c r="N10" s="27" t="s">
        <v>45</v>
      </c>
      <c r="O10" s="27"/>
      <c r="P10" s="27" t="s">
        <v>45</v>
      </c>
      <c r="Q10" s="27"/>
      <c r="R10" s="31" t="s">
        <v>45</v>
      </c>
      <c r="S10" s="27"/>
      <c r="T10" s="31" t="s">
        <v>15</v>
      </c>
      <c r="U10" s="27"/>
      <c r="V10" s="28" t="str">
        <f>IF($AV10,"INCOMPLETE", IF(AT10&lt;0,0,AT10))</f>
        <v>INCOMPLETE</v>
      </c>
      <c r="W10" s="34"/>
      <c r="X10" s="50" t="s">
        <v>268</v>
      </c>
      <c r="Y10" s="40"/>
      <c r="Z10" s="40"/>
      <c r="AA10">
        <f t="shared" si="0"/>
        <v>0</v>
      </c>
      <c r="AB10">
        <f t="shared" si="1"/>
        <v>0</v>
      </c>
      <c r="AC10">
        <f t="shared" si="2"/>
        <v>0</v>
      </c>
      <c r="AD10">
        <f t="shared" si="3"/>
        <v>0</v>
      </c>
      <c r="AE10">
        <f t="shared" si="4"/>
        <v>0</v>
      </c>
      <c r="AF10">
        <f t="shared" si="5"/>
        <v>0</v>
      </c>
      <c r="AG10">
        <f t="shared" si="6"/>
        <v>0</v>
      </c>
      <c r="AH10">
        <f t="shared" si="7"/>
        <v>0</v>
      </c>
      <c r="AI10">
        <f t="shared" si="8"/>
        <v>0</v>
      </c>
      <c r="AJ10">
        <f>IF( $AV10=FALSE,VLOOKUP(Properties!$B$4, Confidentiality_Requirement,3,FALSE),0)</f>
        <v>0</v>
      </c>
      <c r="AK10">
        <f>IF( $AV10=FALSE,VLOOKUP(Properties!$B$5, Integrity_Requirement,3,FALSE),0)</f>
        <v>0</v>
      </c>
      <c r="AL10">
        <f>IF( $AV10=FALSE,VLOOKUP(Properties!$B$6, Availability_Requirement,3,FALSE),0)</f>
        <v>0</v>
      </c>
      <c r="AM10" s="14">
        <f t="shared" si="9"/>
        <v>0</v>
      </c>
      <c r="AN10" s="14">
        <f t="shared" si="10"/>
        <v>0</v>
      </c>
      <c r="AO10" s="4">
        <f t="shared" si="11"/>
        <v>0</v>
      </c>
      <c r="AP10" s="15">
        <f t="shared" si="12"/>
        <v>0</v>
      </c>
      <c r="AQ10" s="15">
        <f t="shared" si="13"/>
        <v>0</v>
      </c>
      <c r="AR10" s="15">
        <f t="shared" si="14"/>
        <v>0</v>
      </c>
      <c r="AS10" s="15">
        <f t="shared" si="15"/>
        <v>0</v>
      </c>
      <c r="AT10">
        <f t="shared" si="16"/>
        <v>0</v>
      </c>
      <c r="AU10">
        <f t="shared" si="17"/>
        <v>0</v>
      </c>
      <c r="AV10" t="b">
        <f t="shared" si="18"/>
        <v>1</v>
      </c>
    </row>
    <row r="11" spans="1:57" ht="115.05" customHeight="1" x14ac:dyDescent="0.25">
      <c r="A11" s="57">
        <v>6</v>
      </c>
      <c r="B11" s="29" t="s">
        <v>271</v>
      </c>
      <c r="C11" s="29" t="s">
        <v>419</v>
      </c>
      <c r="D11" s="29" t="s">
        <v>273</v>
      </c>
      <c r="E11" s="42" t="s">
        <v>33</v>
      </c>
      <c r="F11" s="27" t="s">
        <v>13</v>
      </c>
      <c r="G11" s="27"/>
      <c r="H11" s="27" t="s">
        <v>2</v>
      </c>
      <c r="I11" s="27"/>
      <c r="J11" s="27" t="s">
        <v>15</v>
      </c>
      <c r="K11" s="27"/>
      <c r="L11" s="27" t="s">
        <v>17</v>
      </c>
      <c r="M11" s="27"/>
      <c r="N11" s="27" t="s">
        <v>16</v>
      </c>
      <c r="O11" s="27"/>
      <c r="P11" s="27" t="s">
        <v>16</v>
      </c>
      <c r="Q11" s="27"/>
      <c r="R11" s="31" t="s">
        <v>63</v>
      </c>
      <c r="S11" s="27"/>
      <c r="T11" s="31" t="s">
        <v>15</v>
      </c>
      <c r="U11" s="27"/>
      <c r="V11" s="28">
        <f>IF($AV11,"INCOMPLETE", IF(AT11&lt;0,0,AT11))</f>
        <v>7.8</v>
      </c>
      <c r="W11" s="34"/>
      <c r="X11" s="50" t="s">
        <v>274</v>
      </c>
      <c r="Y11" s="40"/>
      <c r="Z11" s="40"/>
      <c r="AA11">
        <f t="shared" si="0"/>
        <v>0.64600000000000002</v>
      </c>
      <c r="AB11">
        <f t="shared" si="1"/>
        <v>0.35</v>
      </c>
      <c r="AC11">
        <f t="shared" si="2"/>
        <v>0.70399999999999996</v>
      </c>
      <c r="AD11">
        <f t="shared" si="3"/>
        <v>0.66</v>
      </c>
      <c r="AE11">
        <f t="shared" si="4"/>
        <v>0.27500000000000002</v>
      </c>
      <c r="AF11">
        <f t="shared" si="5"/>
        <v>0.27500000000000002</v>
      </c>
      <c r="AG11">
        <f t="shared" si="6"/>
        <v>5.8</v>
      </c>
      <c r="AH11">
        <f t="shared" si="7"/>
        <v>0.3</v>
      </c>
      <c r="AI11">
        <f t="shared" si="8"/>
        <v>0</v>
      </c>
      <c r="AJ11">
        <f>IF( $AV11=FALSE,VLOOKUP(Properties!$B$4, Confidentiality_Requirement,3,FALSE),0)</f>
        <v>1.51</v>
      </c>
      <c r="AK11">
        <f>IF( $AV11=FALSE,VLOOKUP(Properties!$B$5, Integrity_Requirement,3,FALSE),0)</f>
        <v>1.51</v>
      </c>
      <c r="AL11">
        <f>IF( $AV11=FALSE,VLOOKUP(Properties!$B$6, Availability_Requirement,3,FALSE),0)</f>
        <v>1.51</v>
      </c>
      <c r="AM11" s="14">
        <f t="shared" si="9"/>
        <v>8.5496028750000015</v>
      </c>
      <c r="AN11" s="14">
        <f t="shared" si="10"/>
        <v>3.1834880000000001</v>
      </c>
      <c r="AO11" s="4">
        <f t="shared" si="11"/>
        <v>1.1759999999999999</v>
      </c>
      <c r="AP11" s="15">
        <f t="shared" si="12"/>
        <v>10</v>
      </c>
      <c r="AQ11" s="15">
        <f t="shared" si="13"/>
        <v>6.8</v>
      </c>
      <c r="AR11" s="15">
        <f t="shared" si="14"/>
        <v>6.8</v>
      </c>
      <c r="AS11" s="15">
        <f t="shared" si="15"/>
        <v>7.8</v>
      </c>
      <c r="AT11">
        <f t="shared" si="16"/>
        <v>7.8</v>
      </c>
      <c r="AU11">
        <f t="shared" si="17"/>
        <v>7.8</v>
      </c>
      <c r="AV11" t="b">
        <f t="shared" si="18"/>
        <v>0</v>
      </c>
    </row>
    <row r="12" spans="1:57" ht="189.6" customHeight="1" x14ac:dyDescent="0.25">
      <c r="A12" s="39">
        <v>7</v>
      </c>
      <c r="B12" s="29" t="s">
        <v>277</v>
      </c>
      <c r="C12" s="29" t="s">
        <v>419</v>
      </c>
      <c r="D12" s="29" t="s">
        <v>278</v>
      </c>
      <c r="E12" s="42" t="s">
        <v>45</v>
      </c>
      <c r="F12" s="27" t="s">
        <v>45</v>
      </c>
      <c r="G12" s="27"/>
      <c r="H12" s="27" t="s">
        <v>45</v>
      </c>
      <c r="I12" s="27"/>
      <c r="J12" s="27" t="s">
        <v>45</v>
      </c>
      <c r="K12" s="27"/>
      <c r="L12" s="27" t="s">
        <v>45</v>
      </c>
      <c r="M12" s="27"/>
      <c r="N12" s="27" t="s">
        <v>45</v>
      </c>
      <c r="O12" s="27"/>
      <c r="P12" s="27" t="s">
        <v>45</v>
      </c>
      <c r="Q12" s="27"/>
      <c r="R12" s="31" t="s">
        <v>45</v>
      </c>
      <c r="S12" s="27"/>
      <c r="T12" s="31" t="s">
        <v>15</v>
      </c>
      <c r="U12" s="27"/>
      <c r="V12" s="28" t="str">
        <f>IF($AV12,"INCOMPLETE", IF(AT12&lt;0,0,AT12))</f>
        <v>INCOMPLETE</v>
      </c>
      <c r="W12" s="34"/>
      <c r="X12" s="50" t="s">
        <v>279</v>
      </c>
      <c r="Y12" s="40"/>
      <c r="Z12" s="40"/>
      <c r="AA12">
        <f t="shared" si="0"/>
        <v>0</v>
      </c>
      <c r="AB12">
        <f t="shared" si="1"/>
        <v>0</v>
      </c>
      <c r="AC12">
        <f t="shared" si="2"/>
        <v>0</v>
      </c>
      <c r="AD12">
        <f t="shared" si="3"/>
        <v>0</v>
      </c>
      <c r="AE12">
        <f t="shared" si="4"/>
        <v>0</v>
      </c>
      <c r="AF12">
        <f t="shared" si="5"/>
        <v>0</v>
      </c>
      <c r="AG12">
        <f t="shared" si="6"/>
        <v>0</v>
      </c>
      <c r="AH12">
        <f t="shared" si="7"/>
        <v>0</v>
      </c>
      <c r="AI12">
        <f t="shared" si="8"/>
        <v>0</v>
      </c>
      <c r="AJ12">
        <f>IF( $AV12=FALSE,VLOOKUP(Properties!$B$4, Confidentiality_Requirement,3,FALSE),0)</f>
        <v>0</v>
      </c>
      <c r="AK12">
        <f>IF( $AV12=FALSE,VLOOKUP(Properties!$B$5, Integrity_Requirement,3,FALSE),0)</f>
        <v>0</v>
      </c>
      <c r="AL12">
        <f>IF( $AV12=FALSE,VLOOKUP(Properties!$B$6, Availability_Requirement,3,FALSE),0)</f>
        <v>0</v>
      </c>
      <c r="AM12" s="14">
        <f t="shared" si="9"/>
        <v>0</v>
      </c>
      <c r="AN12" s="14">
        <f t="shared" si="10"/>
        <v>0</v>
      </c>
      <c r="AO12" s="4">
        <f t="shared" si="11"/>
        <v>0</v>
      </c>
      <c r="AP12" s="15">
        <f t="shared" si="12"/>
        <v>0</v>
      </c>
      <c r="AQ12" s="15">
        <f t="shared" si="13"/>
        <v>0</v>
      </c>
      <c r="AR12" s="15">
        <f t="shared" si="14"/>
        <v>0</v>
      </c>
      <c r="AS12" s="15">
        <f t="shared" si="15"/>
        <v>0</v>
      </c>
      <c r="AT12">
        <f t="shared" si="16"/>
        <v>0</v>
      </c>
      <c r="AU12">
        <f t="shared" si="17"/>
        <v>0</v>
      </c>
      <c r="AV12" t="b">
        <f t="shared" si="18"/>
        <v>1</v>
      </c>
    </row>
    <row r="13" spans="1:57" ht="141" customHeight="1" x14ac:dyDescent="0.25">
      <c r="A13" s="57">
        <v>8</v>
      </c>
      <c r="B13" s="29" t="s">
        <v>282</v>
      </c>
      <c r="C13" s="29" t="s">
        <v>420</v>
      </c>
      <c r="D13" s="29" t="s">
        <v>284</v>
      </c>
      <c r="E13" s="42" t="s">
        <v>32</v>
      </c>
      <c r="F13" s="27" t="s">
        <v>12</v>
      </c>
      <c r="G13" s="27"/>
      <c r="H13" s="27" t="s">
        <v>2</v>
      </c>
      <c r="I13" s="27"/>
      <c r="J13" s="27" t="s">
        <v>53</v>
      </c>
      <c r="K13" s="27"/>
      <c r="L13" s="27" t="s">
        <v>16</v>
      </c>
      <c r="M13" s="27"/>
      <c r="N13" s="27" t="s">
        <v>17</v>
      </c>
      <c r="O13" s="27"/>
      <c r="P13" s="27" t="s">
        <v>15</v>
      </c>
      <c r="Q13" s="27"/>
      <c r="R13" s="31" t="s">
        <v>63</v>
      </c>
      <c r="S13" s="27"/>
      <c r="T13" s="31" t="s">
        <v>15</v>
      </c>
      <c r="U13" s="27"/>
      <c r="V13" s="28">
        <f>IF($AV13,"INCOMPLETE", IF(AT13&lt;0,0,AT13))</f>
        <v>7.2</v>
      </c>
      <c r="W13" s="34"/>
      <c r="X13" s="50" t="s">
        <v>285</v>
      </c>
      <c r="Y13" s="40"/>
      <c r="Z13" s="40"/>
      <c r="AA13">
        <f t="shared" si="0"/>
        <v>0.39500000000000002</v>
      </c>
      <c r="AB13">
        <f t="shared" si="1"/>
        <v>0.35</v>
      </c>
      <c r="AC13">
        <f t="shared" si="2"/>
        <v>0.56000000000000005</v>
      </c>
      <c r="AD13">
        <f t="shared" si="3"/>
        <v>0.27500000000000002</v>
      </c>
      <c r="AE13">
        <f t="shared" si="4"/>
        <v>0.66</v>
      </c>
      <c r="AF13">
        <f t="shared" si="5"/>
        <v>0</v>
      </c>
      <c r="AG13">
        <f t="shared" si="6"/>
        <v>4.5</v>
      </c>
      <c r="AH13">
        <f t="shared" si="7"/>
        <v>0.3</v>
      </c>
      <c r="AI13">
        <f t="shared" si="8"/>
        <v>0</v>
      </c>
      <c r="AJ13">
        <f>IF( $AV13=FALSE,VLOOKUP(Properties!$B$4, Confidentiality_Requirement,3,FALSE),0)</f>
        <v>1.51</v>
      </c>
      <c r="AK13">
        <f>IF( $AV13=FALSE,VLOOKUP(Properties!$B$5, Integrity_Requirement,3,FALSE),0)</f>
        <v>1.51</v>
      </c>
      <c r="AL13">
        <f>IF( $AV13=FALSE,VLOOKUP(Properties!$B$6, Availability_Requirement,3,FALSE),0)</f>
        <v>1.51</v>
      </c>
      <c r="AM13" s="14">
        <f t="shared" si="9"/>
        <v>7.843935000000001</v>
      </c>
      <c r="AN13" s="14">
        <f t="shared" si="10"/>
        <v>1.5484000000000002</v>
      </c>
      <c r="AO13" s="4">
        <f t="shared" si="11"/>
        <v>1.1759999999999999</v>
      </c>
      <c r="AP13" s="15">
        <f t="shared" si="12"/>
        <v>10</v>
      </c>
      <c r="AQ13" s="15">
        <f t="shared" si="13"/>
        <v>6</v>
      </c>
      <c r="AR13" s="15">
        <f t="shared" si="14"/>
        <v>6</v>
      </c>
      <c r="AS13" s="15">
        <f t="shared" si="15"/>
        <v>7.2</v>
      </c>
      <c r="AT13">
        <f t="shared" si="16"/>
        <v>7.2</v>
      </c>
      <c r="AU13">
        <f t="shared" si="17"/>
        <v>7.2</v>
      </c>
      <c r="AV13" t="b">
        <f t="shared" si="18"/>
        <v>0</v>
      </c>
    </row>
    <row r="14" spans="1:57" ht="76.05" customHeight="1" x14ac:dyDescent="0.25">
      <c r="A14" s="57">
        <v>29</v>
      </c>
      <c r="B14" s="29" t="s">
        <v>354</v>
      </c>
      <c r="C14" s="29" t="s">
        <v>421</v>
      </c>
      <c r="D14" s="29" t="s">
        <v>356</v>
      </c>
      <c r="E14" s="42" t="s">
        <v>32</v>
      </c>
      <c r="F14" s="27" t="s">
        <v>13</v>
      </c>
      <c r="G14" s="27"/>
      <c r="H14" s="27" t="s">
        <v>3</v>
      </c>
      <c r="I14" s="27"/>
      <c r="J14" s="27" t="s">
        <v>15</v>
      </c>
      <c r="K14" s="27"/>
      <c r="L14" s="27" t="s">
        <v>16</v>
      </c>
      <c r="M14" s="27"/>
      <c r="N14" s="27" t="s">
        <v>16</v>
      </c>
      <c r="O14" s="27"/>
      <c r="P14" s="27" t="s">
        <v>16</v>
      </c>
      <c r="Q14" s="27"/>
      <c r="R14" s="31" t="s">
        <v>63</v>
      </c>
      <c r="S14" s="27"/>
      <c r="T14" s="31" t="s">
        <v>15</v>
      </c>
      <c r="U14" s="27"/>
      <c r="V14" s="28">
        <f>IF($AV14,"INCOMPLETE", IF(AT14&lt;0,0,AT14))</f>
        <v>8</v>
      </c>
      <c r="W14" s="34" t="s">
        <v>489</v>
      </c>
      <c r="X14" s="50" t="s">
        <v>330</v>
      </c>
      <c r="Y14" s="40"/>
      <c r="Z14" s="40"/>
      <c r="AA14">
        <f t="shared" si="0"/>
        <v>0.64600000000000002</v>
      </c>
      <c r="AB14">
        <f t="shared" si="1"/>
        <v>0.71</v>
      </c>
      <c r="AC14">
        <f t="shared" si="2"/>
        <v>0.70399999999999996</v>
      </c>
      <c r="AD14">
        <f t="shared" si="3"/>
        <v>0.27500000000000002</v>
      </c>
      <c r="AE14">
        <f t="shared" si="4"/>
        <v>0.27500000000000002</v>
      </c>
      <c r="AF14">
        <f t="shared" si="5"/>
        <v>0.27500000000000002</v>
      </c>
      <c r="AG14">
        <f t="shared" si="6"/>
        <v>5.8</v>
      </c>
      <c r="AH14">
        <f t="shared" si="7"/>
        <v>0.3</v>
      </c>
      <c r="AI14">
        <f t="shared" si="8"/>
        <v>0</v>
      </c>
      <c r="AJ14">
        <f>IF( $AV14=FALSE,VLOOKUP(Properties!$B$4, Confidentiality_Requirement,3,FALSE),0)</f>
        <v>1.51</v>
      </c>
      <c r="AK14">
        <f>IF( $AV14=FALSE,VLOOKUP(Properties!$B$5, Integrity_Requirement,3,FALSE),0)</f>
        <v>1.51</v>
      </c>
      <c r="AL14">
        <f>IF( $AV14=FALSE,VLOOKUP(Properties!$B$6, Availability_Requirement,3,FALSE),0)</f>
        <v>1.51</v>
      </c>
      <c r="AM14" s="14">
        <f t="shared" si="9"/>
        <v>6.4429767187500007</v>
      </c>
      <c r="AN14" s="14">
        <f t="shared" si="10"/>
        <v>6.4579327999999991</v>
      </c>
      <c r="AO14" s="4">
        <f t="shared" si="11"/>
        <v>1.1759999999999999</v>
      </c>
      <c r="AP14" s="15">
        <f t="shared" si="12"/>
        <v>8.3000000000000007</v>
      </c>
      <c r="AQ14" s="15">
        <f t="shared" si="13"/>
        <v>7.1</v>
      </c>
      <c r="AR14" s="15">
        <f t="shared" si="14"/>
        <v>7.1</v>
      </c>
      <c r="AS14" s="15">
        <f t="shared" si="15"/>
        <v>8</v>
      </c>
      <c r="AT14">
        <f t="shared" si="16"/>
        <v>8</v>
      </c>
      <c r="AU14">
        <f t="shared" si="17"/>
        <v>8</v>
      </c>
      <c r="AV14" t="b">
        <f t="shared" si="18"/>
        <v>0</v>
      </c>
    </row>
    <row r="15" spans="1:57" ht="156.6" customHeight="1" x14ac:dyDescent="0.25">
      <c r="A15" s="57">
        <v>30</v>
      </c>
      <c r="B15" s="29" t="s">
        <v>360</v>
      </c>
      <c r="C15" s="29" t="s">
        <v>422</v>
      </c>
      <c r="D15" s="29" t="s">
        <v>361</v>
      </c>
      <c r="E15" s="42" t="s">
        <v>33</v>
      </c>
      <c r="F15" s="27" t="s">
        <v>13</v>
      </c>
      <c r="G15" s="27"/>
      <c r="H15" s="27" t="s">
        <v>11</v>
      </c>
      <c r="I15" s="27"/>
      <c r="J15" s="27" t="s">
        <v>53</v>
      </c>
      <c r="K15" s="27"/>
      <c r="L15" s="27" t="s">
        <v>16</v>
      </c>
      <c r="M15" s="27"/>
      <c r="N15" s="27" t="s">
        <v>16</v>
      </c>
      <c r="O15" s="27"/>
      <c r="P15" s="27" t="s">
        <v>17</v>
      </c>
      <c r="Q15" s="27"/>
      <c r="R15" s="31" t="s">
        <v>63</v>
      </c>
      <c r="S15" s="27"/>
      <c r="T15" s="31" t="s">
        <v>15</v>
      </c>
      <c r="U15" s="27"/>
      <c r="V15" s="28">
        <f>IF($AV15,"INCOMPLETE", IF(AT15&lt;0,0,AT15))</f>
        <v>8.1999999999999993</v>
      </c>
      <c r="W15" s="34"/>
      <c r="X15" s="50" t="s">
        <v>300</v>
      </c>
      <c r="Y15" s="40"/>
      <c r="Z15" s="40"/>
      <c r="AA15">
        <f t="shared" si="0"/>
        <v>0.64600000000000002</v>
      </c>
      <c r="AB15">
        <f t="shared" si="1"/>
        <v>0.61</v>
      </c>
      <c r="AC15">
        <f t="shared" si="2"/>
        <v>0.56000000000000005</v>
      </c>
      <c r="AD15">
        <f t="shared" si="3"/>
        <v>0.27500000000000002</v>
      </c>
      <c r="AE15">
        <f t="shared" si="4"/>
        <v>0.27500000000000002</v>
      </c>
      <c r="AF15">
        <f t="shared" si="5"/>
        <v>0.66</v>
      </c>
      <c r="AG15">
        <f t="shared" si="6"/>
        <v>6.3</v>
      </c>
      <c r="AH15">
        <f t="shared" si="7"/>
        <v>0.3</v>
      </c>
      <c r="AI15">
        <f t="shared" si="8"/>
        <v>0</v>
      </c>
      <c r="AJ15">
        <f>IF( $AV15=FALSE,VLOOKUP(Properties!$B$4, Confidentiality_Requirement,3,FALSE),0)</f>
        <v>1.51</v>
      </c>
      <c r="AK15">
        <f>IF( $AV15=FALSE,VLOOKUP(Properties!$B$5, Integrity_Requirement,3,FALSE),0)</f>
        <v>1.51</v>
      </c>
      <c r="AL15">
        <f>IF( $AV15=FALSE,VLOOKUP(Properties!$B$6, Availability_Requirement,3,FALSE),0)</f>
        <v>1.51</v>
      </c>
      <c r="AM15" s="14">
        <f t="shared" si="9"/>
        <v>8.5496028749999997</v>
      </c>
      <c r="AN15" s="14">
        <f t="shared" si="10"/>
        <v>4.4134719999999996</v>
      </c>
      <c r="AO15" s="4">
        <f t="shared" si="11"/>
        <v>1.1759999999999999</v>
      </c>
      <c r="AP15" s="15">
        <f t="shared" si="12"/>
        <v>10</v>
      </c>
      <c r="AQ15" s="15">
        <f t="shared" si="13"/>
        <v>7.4</v>
      </c>
      <c r="AR15" s="15">
        <f t="shared" si="14"/>
        <v>7.4</v>
      </c>
      <c r="AS15" s="15">
        <f t="shared" si="15"/>
        <v>8.1999999999999993</v>
      </c>
      <c r="AT15">
        <f t="shared" si="16"/>
        <v>8.1999999999999993</v>
      </c>
      <c r="AU15">
        <f t="shared" si="17"/>
        <v>8.1999999999999993</v>
      </c>
      <c r="AV15" t="b">
        <f t="shared" si="18"/>
        <v>0</v>
      </c>
    </row>
    <row r="16" spans="1:57" ht="89.4" customHeight="1" x14ac:dyDescent="0.25">
      <c r="A16" s="39">
        <v>31</v>
      </c>
      <c r="B16" s="29" t="s">
        <v>362</v>
      </c>
      <c r="C16" s="29" t="s">
        <v>423</v>
      </c>
      <c r="D16" s="29" t="s">
        <v>363</v>
      </c>
      <c r="E16" s="42" t="s">
        <v>45</v>
      </c>
      <c r="F16" s="27" t="s">
        <v>45</v>
      </c>
      <c r="G16" s="27"/>
      <c r="H16" s="27" t="s">
        <v>45</v>
      </c>
      <c r="I16" s="27"/>
      <c r="J16" s="27" t="s">
        <v>45</v>
      </c>
      <c r="K16" s="27"/>
      <c r="L16" s="27" t="s">
        <v>45</v>
      </c>
      <c r="M16" s="27"/>
      <c r="N16" s="27" t="s">
        <v>45</v>
      </c>
      <c r="O16" s="27"/>
      <c r="P16" s="27" t="s">
        <v>45</v>
      </c>
      <c r="Q16" s="27"/>
      <c r="R16" s="31" t="s">
        <v>45</v>
      </c>
      <c r="S16" s="27"/>
      <c r="T16" s="31" t="s">
        <v>15</v>
      </c>
      <c r="U16" s="27"/>
      <c r="V16" s="28" t="str">
        <f>IF($AV16,"INCOMPLETE", IF(AT16&lt;0,0,AT16))</f>
        <v>INCOMPLETE</v>
      </c>
      <c r="W16" s="34"/>
      <c r="X16" s="50" t="s">
        <v>364</v>
      </c>
      <c r="Y16" s="40"/>
      <c r="Z16" s="40"/>
      <c r="AA16">
        <f t="shared" si="0"/>
        <v>0</v>
      </c>
      <c r="AB16">
        <f t="shared" si="1"/>
        <v>0</v>
      </c>
      <c r="AC16">
        <f t="shared" si="2"/>
        <v>0</v>
      </c>
      <c r="AD16">
        <f t="shared" si="3"/>
        <v>0</v>
      </c>
      <c r="AE16">
        <f t="shared" si="4"/>
        <v>0</v>
      </c>
      <c r="AF16">
        <f t="shared" si="5"/>
        <v>0</v>
      </c>
      <c r="AG16">
        <f t="shared" si="6"/>
        <v>0</v>
      </c>
      <c r="AH16">
        <f t="shared" si="7"/>
        <v>0</v>
      </c>
      <c r="AI16">
        <f t="shared" si="8"/>
        <v>0</v>
      </c>
      <c r="AJ16">
        <f>IF( $AV16=FALSE,VLOOKUP(Properties!$B$4, Confidentiality_Requirement,3,FALSE),0)</f>
        <v>0</v>
      </c>
      <c r="AK16">
        <f>IF( $AV16=FALSE,VLOOKUP(Properties!$B$5, Integrity_Requirement,3,FALSE),0)</f>
        <v>0</v>
      </c>
      <c r="AL16">
        <f>IF( $AV16=FALSE,VLOOKUP(Properties!$B$6, Availability_Requirement,3,FALSE),0)</f>
        <v>0</v>
      </c>
      <c r="AM16" s="14">
        <f t="shared" si="9"/>
        <v>0</v>
      </c>
      <c r="AN16" s="14">
        <f t="shared" si="10"/>
        <v>0</v>
      </c>
      <c r="AO16" s="4">
        <f t="shared" si="11"/>
        <v>0</v>
      </c>
      <c r="AP16" s="15">
        <f t="shared" si="12"/>
        <v>0</v>
      </c>
      <c r="AQ16" s="15">
        <f t="shared" si="13"/>
        <v>0</v>
      </c>
      <c r="AR16" s="15">
        <f t="shared" si="14"/>
        <v>0</v>
      </c>
      <c r="AS16" s="15">
        <f t="shared" si="15"/>
        <v>0</v>
      </c>
      <c r="AT16">
        <f t="shared" si="16"/>
        <v>0</v>
      </c>
      <c r="AU16">
        <f t="shared" si="17"/>
        <v>0</v>
      </c>
      <c r="AV16" t="b">
        <f t="shared" si="18"/>
        <v>1</v>
      </c>
    </row>
    <row r="17" spans="1:48" ht="87" customHeight="1" x14ac:dyDescent="0.25">
      <c r="A17" s="57">
        <v>32</v>
      </c>
      <c r="B17" s="29" t="s">
        <v>366</v>
      </c>
      <c r="C17" s="29" t="s">
        <v>424</v>
      </c>
      <c r="D17" s="29" t="s">
        <v>367</v>
      </c>
      <c r="E17" s="42" t="s">
        <v>32</v>
      </c>
      <c r="F17" s="27" t="s">
        <v>13</v>
      </c>
      <c r="G17" s="27"/>
      <c r="H17" s="27" t="s">
        <v>3</v>
      </c>
      <c r="I17" s="27"/>
      <c r="J17" s="27" t="s">
        <v>15</v>
      </c>
      <c r="K17" s="27"/>
      <c r="L17" s="27" t="s">
        <v>15</v>
      </c>
      <c r="M17" s="27"/>
      <c r="N17" s="27" t="s">
        <v>15</v>
      </c>
      <c r="O17" s="27"/>
      <c r="P17" s="27" t="s">
        <v>17</v>
      </c>
      <c r="Q17" s="27"/>
      <c r="R17" s="31" t="s">
        <v>3</v>
      </c>
      <c r="S17" s="27"/>
      <c r="T17" s="31" t="s">
        <v>15</v>
      </c>
      <c r="U17" s="27"/>
      <c r="V17" s="28">
        <f>IF($AV17,"INCOMPLETE", IF(AT17&lt;0,0,AT17))</f>
        <v>8.5</v>
      </c>
      <c r="W17" s="34" t="s">
        <v>490</v>
      </c>
      <c r="X17" s="50" t="s">
        <v>368</v>
      </c>
      <c r="Y17" s="40"/>
      <c r="Z17" s="40"/>
      <c r="AA17">
        <f t="shared" si="0"/>
        <v>0.64600000000000002</v>
      </c>
      <c r="AB17">
        <f t="shared" si="1"/>
        <v>0.71</v>
      </c>
      <c r="AC17">
        <f t="shared" si="2"/>
        <v>0.70399999999999996</v>
      </c>
      <c r="AD17">
        <f t="shared" si="3"/>
        <v>0</v>
      </c>
      <c r="AE17">
        <f t="shared" si="4"/>
        <v>0</v>
      </c>
      <c r="AF17">
        <f t="shared" si="5"/>
        <v>0.66</v>
      </c>
      <c r="AG17">
        <f t="shared" si="6"/>
        <v>6.1</v>
      </c>
      <c r="AH17">
        <f t="shared" si="7"/>
        <v>0.1</v>
      </c>
      <c r="AI17">
        <f t="shared" si="8"/>
        <v>0</v>
      </c>
      <c r="AJ17">
        <f>IF( $AV17=FALSE,VLOOKUP(Properties!$B$4, Confidentiality_Requirement,3,FALSE),0)</f>
        <v>1.51</v>
      </c>
      <c r="AK17">
        <f>IF( $AV17=FALSE,VLOOKUP(Properties!$B$5, Integrity_Requirement,3,FALSE),0)</f>
        <v>1.51</v>
      </c>
      <c r="AL17">
        <f>IF( $AV17=FALSE,VLOOKUP(Properties!$B$6, Availability_Requirement,3,FALSE),0)</f>
        <v>1.51</v>
      </c>
      <c r="AM17" s="14">
        <f t="shared" si="9"/>
        <v>6.8706000000000005</v>
      </c>
      <c r="AN17" s="14">
        <f t="shared" si="10"/>
        <v>6.4579327999999991</v>
      </c>
      <c r="AO17" s="4">
        <f t="shared" si="11"/>
        <v>1.1759999999999999</v>
      </c>
      <c r="AP17" s="15">
        <f t="shared" si="12"/>
        <v>10</v>
      </c>
      <c r="AQ17" s="15">
        <f t="shared" si="13"/>
        <v>8.3000000000000007</v>
      </c>
      <c r="AR17" s="15">
        <f t="shared" si="14"/>
        <v>8.3000000000000007</v>
      </c>
      <c r="AS17" s="15">
        <f t="shared" si="15"/>
        <v>8.5</v>
      </c>
      <c r="AT17">
        <f t="shared" si="16"/>
        <v>8.5</v>
      </c>
      <c r="AU17">
        <f t="shared" si="17"/>
        <v>8.5</v>
      </c>
      <c r="AV17" t="b">
        <f t="shared" si="18"/>
        <v>0</v>
      </c>
    </row>
    <row r="18" spans="1:48" ht="76.05" customHeight="1" x14ac:dyDescent="0.25">
      <c r="A18" s="57">
        <v>33</v>
      </c>
      <c r="B18" s="29" t="s">
        <v>371</v>
      </c>
      <c r="C18" s="29" t="s">
        <v>425</v>
      </c>
      <c r="D18" s="29" t="s">
        <v>373</v>
      </c>
      <c r="E18" s="42" t="s">
        <v>33</v>
      </c>
      <c r="F18" s="27" t="s">
        <v>13</v>
      </c>
      <c r="G18" s="27"/>
      <c r="H18" s="27" t="s">
        <v>11</v>
      </c>
      <c r="I18" s="27"/>
      <c r="J18" s="27" t="s">
        <v>15</v>
      </c>
      <c r="K18" s="27"/>
      <c r="L18" s="27" t="s">
        <v>16</v>
      </c>
      <c r="M18" s="27"/>
      <c r="N18" s="27" t="s">
        <v>15</v>
      </c>
      <c r="O18" s="27"/>
      <c r="P18" s="27" t="s">
        <v>17</v>
      </c>
      <c r="Q18" s="27"/>
      <c r="R18" s="31" t="s">
        <v>3</v>
      </c>
      <c r="S18" s="27"/>
      <c r="T18" s="31" t="s">
        <v>15</v>
      </c>
      <c r="U18" s="27"/>
      <c r="V18" s="28">
        <f>IF($AV18,"INCOMPLETE", IF(AT18&lt;0,0,AT18))</f>
        <v>8.1</v>
      </c>
      <c r="W18" s="34"/>
      <c r="X18" s="50" t="s">
        <v>330</v>
      </c>
      <c r="Y18" s="40"/>
      <c r="Z18" s="40"/>
      <c r="AA18">
        <f t="shared" si="0"/>
        <v>0.64600000000000002</v>
      </c>
      <c r="AB18">
        <f t="shared" si="1"/>
        <v>0.61</v>
      </c>
      <c r="AC18">
        <f t="shared" si="2"/>
        <v>0.70399999999999996</v>
      </c>
      <c r="AD18">
        <f t="shared" si="3"/>
        <v>0.27500000000000002</v>
      </c>
      <c r="AE18">
        <f t="shared" si="4"/>
        <v>0</v>
      </c>
      <c r="AF18">
        <f t="shared" si="5"/>
        <v>0.66</v>
      </c>
      <c r="AG18">
        <f t="shared" si="6"/>
        <v>6.4</v>
      </c>
      <c r="AH18">
        <f t="shared" si="7"/>
        <v>0.1</v>
      </c>
      <c r="AI18">
        <f t="shared" si="8"/>
        <v>0</v>
      </c>
      <c r="AJ18">
        <f>IF( $AV18=FALSE,VLOOKUP(Properties!$B$4, Confidentiality_Requirement,3,FALSE),0)</f>
        <v>1.51</v>
      </c>
      <c r="AK18">
        <f>IF( $AV18=FALSE,VLOOKUP(Properties!$B$5, Integrity_Requirement,3,FALSE),0)</f>
        <v>1.51</v>
      </c>
      <c r="AL18">
        <f>IF( $AV18=FALSE,VLOOKUP(Properties!$B$6, Availability_Requirement,3,FALSE),0)</f>
        <v>1.51</v>
      </c>
      <c r="AM18" s="14">
        <f t="shared" si="9"/>
        <v>7.843935000000001</v>
      </c>
      <c r="AN18" s="14">
        <f t="shared" si="10"/>
        <v>5.5483647999999999</v>
      </c>
      <c r="AO18" s="4">
        <f t="shared" si="11"/>
        <v>1.1759999999999999</v>
      </c>
      <c r="AP18" s="15">
        <f t="shared" si="12"/>
        <v>10</v>
      </c>
      <c r="AQ18" s="15">
        <f t="shared" si="13"/>
        <v>7.9</v>
      </c>
      <c r="AR18" s="15">
        <f t="shared" si="14"/>
        <v>7.9</v>
      </c>
      <c r="AS18" s="15">
        <f t="shared" si="15"/>
        <v>8.1</v>
      </c>
      <c r="AT18">
        <f t="shared" si="16"/>
        <v>8.1</v>
      </c>
      <c r="AU18">
        <f t="shared" si="17"/>
        <v>8.1</v>
      </c>
      <c r="AV18" t="b">
        <f t="shared" si="18"/>
        <v>0</v>
      </c>
    </row>
    <row r="19" spans="1:48" ht="99.6" customHeight="1" x14ac:dyDescent="0.25">
      <c r="A19" s="57">
        <v>34</v>
      </c>
      <c r="B19" s="29" t="s">
        <v>374</v>
      </c>
      <c r="C19" s="29" t="s">
        <v>426</v>
      </c>
      <c r="D19" s="29" t="s">
        <v>375</v>
      </c>
      <c r="E19" s="42" t="s">
        <v>33</v>
      </c>
      <c r="F19" s="27" t="s">
        <v>13</v>
      </c>
      <c r="G19" s="27"/>
      <c r="H19" s="27" t="s">
        <v>2</v>
      </c>
      <c r="I19" s="27"/>
      <c r="J19" s="27" t="s">
        <v>15</v>
      </c>
      <c r="K19" s="27"/>
      <c r="L19" s="27" t="s">
        <v>16</v>
      </c>
      <c r="M19" s="27"/>
      <c r="N19" s="27" t="s">
        <v>15</v>
      </c>
      <c r="O19" s="27"/>
      <c r="P19" s="27" t="s">
        <v>16</v>
      </c>
      <c r="Q19" s="27"/>
      <c r="R19" s="31" t="s">
        <v>3</v>
      </c>
      <c r="S19" s="27"/>
      <c r="T19" s="31" t="s">
        <v>15</v>
      </c>
      <c r="U19" s="27"/>
      <c r="V19" s="28">
        <f>IF($AV19,"INCOMPLETE", IF(AT19&lt;0,0,AT19))</f>
        <v>5.0999999999999996</v>
      </c>
      <c r="W19" s="34"/>
      <c r="X19" s="50" t="s">
        <v>300</v>
      </c>
      <c r="Y19" s="40"/>
      <c r="Z19" s="40"/>
      <c r="AA19">
        <f t="shared" si="0"/>
        <v>0.64600000000000002</v>
      </c>
      <c r="AB19">
        <f t="shared" si="1"/>
        <v>0.35</v>
      </c>
      <c r="AC19">
        <f t="shared" si="2"/>
        <v>0.70399999999999996</v>
      </c>
      <c r="AD19">
        <f t="shared" si="3"/>
        <v>0.27500000000000002</v>
      </c>
      <c r="AE19">
        <f t="shared" si="4"/>
        <v>0</v>
      </c>
      <c r="AF19">
        <f t="shared" si="5"/>
        <v>0.27500000000000002</v>
      </c>
      <c r="AG19">
        <f t="shared" si="6"/>
        <v>3.2</v>
      </c>
      <c r="AH19">
        <f t="shared" si="7"/>
        <v>0.1</v>
      </c>
      <c r="AI19">
        <f t="shared" si="8"/>
        <v>0</v>
      </c>
      <c r="AJ19">
        <f>IF( $AV19=FALSE,VLOOKUP(Properties!$B$4, Confidentiality_Requirement,3,FALSE),0)</f>
        <v>1.51</v>
      </c>
      <c r="AK19">
        <f>IF( $AV19=FALSE,VLOOKUP(Properties!$B$5, Integrity_Requirement,3,FALSE),0)</f>
        <v>1.51</v>
      </c>
      <c r="AL19">
        <f>IF( $AV19=FALSE,VLOOKUP(Properties!$B$6, Availability_Requirement,3,FALSE),0)</f>
        <v>1.51</v>
      </c>
      <c r="AM19" s="14">
        <f t="shared" si="9"/>
        <v>4.9382437499999998</v>
      </c>
      <c r="AN19" s="14">
        <f t="shared" si="10"/>
        <v>3.1834880000000001</v>
      </c>
      <c r="AO19" s="4">
        <f t="shared" si="11"/>
        <v>1.1759999999999999</v>
      </c>
      <c r="AP19" s="15">
        <f t="shared" si="12"/>
        <v>6.9</v>
      </c>
      <c r="AQ19" s="15">
        <f t="shared" si="13"/>
        <v>4.5999999999999996</v>
      </c>
      <c r="AR19" s="15">
        <f t="shared" si="14"/>
        <v>4.5999999999999996</v>
      </c>
      <c r="AS19" s="15">
        <f t="shared" si="15"/>
        <v>5.0999999999999996</v>
      </c>
      <c r="AT19">
        <f t="shared" si="16"/>
        <v>5.0999999999999996</v>
      </c>
      <c r="AU19">
        <f t="shared" si="17"/>
        <v>5.0999999999999996</v>
      </c>
      <c r="AV19" t="b">
        <f t="shared" si="18"/>
        <v>0</v>
      </c>
    </row>
    <row r="20" spans="1:48" ht="115.05" customHeight="1" x14ac:dyDescent="0.25">
      <c r="A20" s="57">
        <v>35</v>
      </c>
      <c r="B20" s="29" t="s">
        <v>376</v>
      </c>
      <c r="C20" s="29" t="s">
        <v>427</v>
      </c>
      <c r="D20" s="29" t="s">
        <v>377</v>
      </c>
      <c r="E20" s="42" t="s">
        <v>33</v>
      </c>
      <c r="F20" s="27" t="s">
        <v>13</v>
      </c>
      <c r="G20" s="27"/>
      <c r="H20" s="27" t="s">
        <v>11</v>
      </c>
      <c r="I20" s="27"/>
      <c r="J20" s="27" t="s">
        <v>15</v>
      </c>
      <c r="K20" s="27"/>
      <c r="L20" s="27" t="s">
        <v>16</v>
      </c>
      <c r="M20" s="27"/>
      <c r="N20" s="27" t="s">
        <v>17</v>
      </c>
      <c r="O20" s="27"/>
      <c r="P20" s="27" t="s">
        <v>15</v>
      </c>
      <c r="Q20" s="27"/>
      <c r="R20" s="31" t="s">
        <v>63</v>
      </c>
      <c r="S20" s="27"/>
      <c r="T20" s="31" t="s">
        <v>15</v>
      </c>
      <c r="U20" s="27"/>
      <c r="V20" s="28">
        <f>IF($AV20,"INCOMPLETE", IF(AT20&lt;0,0,AT20))</f>
        <v>8.5</v>
      </c>
      <c r="W20" s="34"/>
      <c r="X20" s="50" t="s">
        <v>364</v>
      </c>
      <c r="Y20" s="40"/>
      <c r="Z20" s="40"/>
      <c r="AA20">
        <f t="shared" si="0"/>
        <v>0.64600000000000002</v>
      </c>
      <c r="AB20">
        <f t="shared" si="1"/>
        <v>0.61</v>
      </c>
      <c r="AC20">
        <f t="shared" si="2"/>
        <v>0.70399999999999996</v>
      </c>
      <c r="AD20">
        <f t="shared" si="3"/>
        <v>0.27500000000000002</v>
      </c>
      <c r="AE20">
        <f t="shared" si="4"/>
        <v>0.66</v>
      </c>
      <c r="AF20">
        <f t="shared" si="5"/>
        <v>0</v>
      </c>
      <c r="AG20">
        <f t="shared" si="6"/>
        <v>6.4</v>
      </c>
      <c r="AH20">
        <f t="shared" si="7"/>
        <v>0.3</v>
      </c>
      <c r="AI20">
        <f t="shared" si="8"/>
        <v>0</v>
      </c>
      <c r="AJ20">
        <f>IF( $AV20=FALSE,VLOOKUP(Properties!$B$4, Confidentiality_Requirement,3,FALSE),0)</f>
        <v>1.51</v>
      </c>
      <c r="AK20">
        <f>IF( $AV20=FALSE,VLOOKUP(Properties!$B$5, Integrity_Requirement,3,FALSE),0)</f>
        <v>1.51</v>
      </c>
      <c r="AL20">
        <f>IF( $AV20=FALSE,VLOOKUP(Properties!$B$6, Availability_Requirement,3,FALSE),0)</f>
        <v>1.51</v>
      </c>
      <c r="AM20" s="14">
        <f t="shared" si="9"/>
        <v>7.843935000000001</v>
      </c>
      <c r="AN20" s="14">
        <f t="shared" si="10"/>
        <v>5.5483647999999999</v>
      </c>
      <c r="AO20" s="4">
        <f t="shared" si="11"/>
        <v>1.1759999999999999</v>
      </c>
      <c r="AP20" s="15">
        <f t="shared" si="12"/>
        <v>10</v>
      </c>
      <c r="AQ20" s="15">
        <f t="shared" si="13"/>
        <v>7.9</v>
      </c>
      <c r="AR20" s="15">
        <f t="shared" si="14"/>
        <v>7.9</v>
      </c>
      <c r="AS20" s="15">
        <f t="shared" si="15"/>
        <v>8.5</v>
      </c>
      <c r="AT20">
        <f t="shared" si="16"/>
        <v>8.5</v>
      </c>
      <c r="AU20">
        <f t="shared" si="17"/>
        <v>8.5</v>
      </c>
      <c r="AV20" t="b">
        <f t="shared" si="18"/>
        <v>0</v>
      </c>
    </row>
    <row r="21" spans="1:48" ht="92.4" customHeight="1" x14ac:dyDescent="0.25">
      <c r="A21" s="57">
        <v>36</v>
      </c>
      <c r="B21" s="29" t="s">
        <v>378</v>
      </c>
      <c r="C21" s="29" t="s">
        <v>428</v>
      </c>
      <c r="D21" s="29" t="s">
        <v>379</v>
      </c>
      <c r="E21" s="42" t="s">
        <v>32</v>
      </c>
      <c r="F21" s="27" t="s">
        <v>13</v>
      </c>
      <c r="G21" s="27"/>
      <c r="H21" s="27" t="s">
        <v>11</v>
      </c>
      <c r="I21" s="27"/>
      <c r="J21" s="27" t="s">
        <v>15</v>
      </c>
      <c r="K21" s="27"/>
      <c r="L21" s="27" t="s">
        <v>15</v>
      </c>
      <c r="M21" s="27"/>
      <c r="N21" s="27" t="s">
        <v>15</v>
      </c>
      <c r="O21" s="27"/>
      <c r="P21" s="27" t="s">
        <v>16</v>
      </c>
      <c r="Q21" s="27"/>
      <c r="R21" s="31" t="s">
        <v>3</v>
      </c>
      <c r="S21" s="27"/>
      <c r="T21" s="31" t="s">
        <v>15</v>
      </c>
      <c r="U21" s="27"/>
      <c r="V21" s="28">
        <f>IF($AV21,"INCOMPLETE", IF(AT21&lt;0,0,AT21))</f>
        <v>4.5</v>
      </c>
      <c r="W21" s="34"/>
      <c r="X21" s="50" t="s">
        <v>368</v>
      </c>
      <c r="Y21" s="40"/>
      <c r="Z21" s="40"/>
      <c r="AA21">
        <f t="shared" si="0"/>
        <v>0.64600000000000002</v>
      </c>
      <c r="AB21">
        <f t="shared" si="1"/>
        <v>0.61</v>
      </c>
      <c r="AC21">
        <f t="shared" si="2"/>
        <v>0.70399999999999996</v>
      </c>
      <c r="AD21">
        <f t="shared" si="3"/>
        <v>0</v>
      </c>
      <c r="AE21">
        <f t="shared" si="4"/>
        <v>0</v>
      </c>
      <c r="AF21">
        <f t="shared" si="5"/>
        <v>0.27500000000000002</v>
      </c>
      <c r="AG21">
        <f t="shared" si="6"/>
        <v>2.9</v>
      </c>
      <c r="AH21">
        <f t="shared" si="7"/>
        <v>0.1</v>
      </c>
      <c r="AI21">
        <f t="shared" si="8"/>
        <v>0</v>
      </c>
      <c r="AJ21">
        <f>IF( $AV21=FALSE,VLOOKUP(Properties!$B$4, Confidentiality_Requirement,3,FALSE),0)</f>
        <v>1.51</v>
      </c>
      <c r="AK21">
        <f>IF( $AV21=FALSE,VLOOKUP(Properties!$B$5, Integrity_Requirement,3,FALSE),0)</f>
        <v>1.51</v>
      </c>
      <c r="AL21">
        <f>IF( $AV21=FALSE,VLOOKUP(Properties!$B$6, Availability_Requirement,3,FALSE),0)</f>
        <v>1.51</v>
      </c>
      <c r="AM21" s="14">
        <f t="shared" si="9"/>
        <v>2.8627500000000001</v>
      </c>
      <c r="AN21" s="14">
        <f t="shared" si="10"/>
        <v>5.5483647999999999</v>
      </c>
      <c r="AO21" s="4">
        <f t="shared" si="11"/>
        <v>1.1759999999999999</v>
      </c>
      <c r="AP21" s="15">
        <f t="shared" si="12"/>
        <v>4.3</v>
      </c>
      <c r="AQ21" s="15">
        <f t="shared" si="13"/>
        <v>3.9</v>
      </c>
      <c r="AR21" s="15">
        <f t="shared" si="14"/>
        <v>3.9</v>
      </c>
      <c r="AS21" s="15">
        <f t="shared" si="15"/>
        <v>4.5</v>
      </c>
      <c r="AT21">
        <f t="shared" si="16"/>
        <v>4.5</v>
      </c>
      <c r="AU21">
        <f t="shared" si="17"/>
        <v>4.5</v>
      </c>
      <c r="AV21" t="b">
        <f t="shared" si="18"/>
        <v>0</v>
      </c>
    </row>
    <row r="22" spans="1:48" ht="154.80000000000001" customHeight="1" x14ac:dyDescent="0.25">
      <c r="A22" s="39">
        <v>37</v>
      </c>
      <c r="B22" s="29" t="s">
        <v>380</v>
      </c>
      <c r="C22" s="29" t="s">
        <v>424</v>
      </c>
      <c r="D22" s="29" t="s">
        <v>381</v>
      </c>
      <c r="E22" s="42" t="s">
        <v>45</v>
      </c>
      <c r="F22" s="27" t="s">
        <v>45</v>
      </c>
      <c r="G22" s="27"/>
      <c r="H22" s="27" t="s">
        <v>45</v>
      </c>
      <c r="I22" s="27"/>
      <c r="J22" s="27" t="s">
        <v>45</v>
      </c>
      <c r="K22" s="27"/>
      <c r="L22" s="27" t="s">
        <v>45</v>
      </c>
      <c r="M22" s="27"/>
      <c r="N22" s="27" t="s">
        <v>45</v>
      </c>
      <c r="O22" s="27"/>
      <c r="P22" s="27" t="s">
        <v>45</v>
      </c>
      <c r="Q22" s="27"/>
      <c r="R22" s="31" t="s">
        <v>45</v>
      </c>
      <c r="S22" s="27"/>
      <c r="T22" s="31" t="s">
        <v>15</v>
      </c>
      <c r="U22" s="27"/>
      <c r="V22" s="28" t="str">
        <f>IF($AV22,"INCOMPLETE", IF(AT22&lt;0,0,AT22))</f>
        <v>INCOMPLETE</v>
      </c>
      <c r="W22" s="34"/>
      <c r="X22" s="50" t="s">
        <v>268</v>
      </c>
      <c r="Y22" s="40"/>
      <c r="Z22" s="40"/>
      <c r="AA22">
        <f t="shared" si="0"/>
        <v>0</v>
      </c>
      <c r="AB22">
        <f t="shared" si="1"/>
        <v>0</v>
      </c>
      <c r="AC22">
        <f t="shared" si="2"/>
        <v>0</v>
      </c>
      <c r="AD22">
        <f t="shared" si="3"/>
        <v>0</v>
      </c>
      <c r="AE22">
        <f t="shared" si="4"/>
        <v>0</v>
      </c>
      <c r="AF22">
        <f t="shared" si="5"/>
        <v>0</v>
      </c>
      <c r="AG22">
        <f t="shared" si="6"/>
        <v>0</v>
      </c>
      <c r="AH22">
        <f t="shared" si="7"/>
        <v>0</v>
      </c>
      <c r="AI22">
        <f t="shared" si="8"/>
        <v>0</v>
      </c>
      <c r="AJ22">
        <f>IF( $AV22=FALSE,VLOOKUP(Properties!$B$4, Confidentiality_Requirement,3,FALSE),0)</f>
        <v>0</v>
      </c>
      <c r="AK22">
        <f>IF( $AV22=FALSE,VLOOKUP(Properties!$B$5, Integrity_Requirement,3,FALSE),0)</f>
        <v>0</v>
      </c>
      <c r="AL22">
        <f>IF( $AV22=FALSE,VLOOKUP(Properties!$B$6, Availability_Requirement,3,FALSE),0)</f>
        <v>0</v>
      </c>
      <c r="AM22" s="14">
        <f t="shared" si="9"/>
        <v>0</v>
      </c>
      <c r="AN22" s="14">
        <f t="shared" si="10"/>
        <v>0</v>
      </c>
      <c r="AO22" s="4">
        <f t="shared" si="11"/>
        <v>0</v>
      </c>
      <c r="AP22" s="15">
        <f t="shared" si="12"/>
        <v>0</v>
      </c>
      <c r="AQ22" s="15">
        <f t="shared" si="13"/>
        <v>0</v>
      </c>
      <c r="AR22" s="15">
        <f t="shared" si="14"/>
        <v>0</v>
      </c>
      <c r="AS22" s="15">
        <f t="shared" si="15"/>
        <v>0</v>
      </c>
      <c r="AT22">
        <f t="shared" si="16"/>
        <v>0</v>
      </c>
      <c r="AU22">
        <f t="shared" si="17"/>
        <v>0</v>
      </c>
      <c r="AV22" t="b">
        <f t="shared" si="18"/>
        <v>1</v>
      </c>
    </row>
    <row r="23" spans="1:48" ht="115.05" customHeight="1" x14ac:dyDescent="0.25">
      <c r="A23" s="57">
        <v>38</v>
      </c>
      <c r="B23" s="29" t="s">
        <v>271</v>
      </c>
      <c r="C23" s="29" t="s">
        <v>429</v>
      </c>
      <c r="D23" s="29" t="s">
        <v>382</v>
      </c>
      <c r="E23" s="42" t="s">
        <v>32</v>
      </c>
      <c r="F23" s="27" t="s">
        <v>13</v>
      </c>
      <c r="G23" s="27"/>
      <c r="H23" s="27" t="s">
        <v>3</v>
      </c>
      <c r="I23" s="27"/>
      <c r="J23" s="27" t="s">
        <v>15</v>
      </c>
      <c r="K23" s="27"/>
      <c r="L23" s="27" t="s">
        <v>15</v>
      </c>
      <c r="M23" s="27"/>
      <c r="N23" s="27" t="s">
        <v>16</v>
      </c>
      <c r="O23" s="27"/>
      <c r="P23" s="27" t="s">
        <v>16</v>
      </c>
      <c r="Q23" s="27"/>
      <c r="R23" s="31" t="s">
        <v>3</v>
      </c>
      <c r="S23" s="27"/>
      <c r="T23" s="31" t="s">
        <v>15</v>
      </c>
      <c r="U23" s="27"/>
      <c r="V23" s="28">
        <f>IF($AV23,"INCOMPLETE", IF(AT23&lt;0,0,AT23))</f>
        <v>6.5</v>
      </c>
      <c r="W23" s="34" t="s">
        <v>491</v>
      </c>
      <c r="X23" s="50" t="s">
        <v>274</v>
      </c>
      <c r="Y23" s="40"/>
      <c r="Z23" s="40"/>
      <c r="AA23">
        <f t="shared" si="0"/>
        <v>0.64600000000000002</v>
      </c>
      <c r="AB23">
        <f t="shared" si="1"/>
        <v>0.71</v>
      </c>
      <c r="AC23">
        <f t="shared" si="2"/>
        <v>0.70399999999999996</v>
      </c>
      <c r="AD23">
        <f t="shared" si="3"/>
        <v>0</v>
      </c>
      <c r="AE23">
        <f t="shared" si="4"/>
        <v>0.27500000000000002</v>
      </c>
      <c r="AF23">
        <f t="shared" si="5"/>
        <v>0.27500000000000002</v>
      </c>
      <c r="AG23">
        <f t="shared" si="6"/>
        <v>4.8</v>
      </c>
      <c r="AH23">
        <f t="shared" si="7"/>
        <v>0.1</v>
      </c>
      <c r="AI23">
        <f t="shared" si="8"/>
        <v>0</v>
      </c>
      <c r="AJ23">
        <f>IF( $AV23=FALSE,VLOOKUP(Properties!$B$4, Confidentiality_Requirement,3,FALSE),0)</f>
        <v>1.51</v>
      </c>
      <c r="AK23">
        <f>IF( $AV23=FALSE,VLOOKUP(Properties!$B$5, Integrity_Requirement,3,FALSE),0)</f>
        <v>1.51</v>
      </c>
      <c r="AL23">
        <f>IF( $AV23=FALSE,VLOOKUP(Properties!$B$6, Availability_Requirement,3,FALSE),0)</f>
        <v>1.51</v>
      </c>
      <c r="AM23" s="14">
        <f t="shared" si="9"/>
        <v>4.9382437499999998</v>
      </c>
      <c r="AN23" s="14">
        <f t="shared" si="10"/>
        <v>6.4579327999999991</v>
      </c>
      <c r="AO23" s="4">
        <f t="shared" si="11"/>
        <v>1.1759999999999999</v>
      </c>
      <c r="AP23" s="15">
        <f t="shared" si="12"/>
        <v>6.9</v>
      </c>
      <c r="AQ23" s="15">
        <f t="shared" si="13"/>
        <v>6.1</v>
      </c>
      <c r="AR23" s="15">
        <f t="shared" si="14"/>
        <v>6.1</v>
      </c>
      <c r="AS23" s="15">
        <f t="shared" si="15"/>
        <v>6.5</v>
      </c>
      <c r="AT23">
        <f t="shared" si="16"/>
        <v>6.5</v>
      </c>
      <c r="AU23">
        <f t="shared" si="17"/>
        <v>6.5</v>
      </c>
      <c r="AV23" t="b">
        <f t="shared" si="18"/>
        <v>0</v>
      </c>
    </row>
    <row r="24" spans="1:48" ht="175.8" customHeight="1" x14ac:dyDescent="0.25">
      <c r="A24" s="39">
        <v>39</v>
      </c>
      <c r="B24" s="29" t="s">
        <v>277</v>
      </c>
      <c r="C24" s="29" t="s">
        <v>429</v>
      </c>
      <c r="D24" s="29" t="s">
        <v>278</v>
      </c>
      <c r="E24" s="42" t="s">
        <v>45</v>
      </c>
      <c r="F24" s="27" t="s">
        <v>45</v>
      </c>
      <c r="G24" s="27"/>
      <c r="H24" s="27" t="s">
        <v>45</v>
      </c>
      <c r="I24" s="27"/>
      <c r="J24" s="27" t="s">
        <v>45</v>
      </c>
      <c r="K24" s="27"/>
      <c r="L24" s="27" t="s">
        <v>45</v>
      </c>
      <c r="M24" s="27"/>
      <c r="N24" s="27" t="s">
        <v>45</v>
      </c>
      <c r="O24" s="27"/>
      <c r="P24" s="27" t="s">
        <v>45</v>
      </c>
      <c r="Q24" s="27"/>
      <c r="R24" s="31" t="s">
        <v>45</v>
      </c>
      <c r="S24" s="27"/>
      <c r="T24" s="31" t="s">
        <v>15</v>
      </c>
      <c r="U24" s="27"/>
      <c r="V24" s="28" t="str">
        <f>IF($AV24,"INCOMPLETE", IF(AT24&lt;0,0,AT24))</f>
        <v>INCOMPLETE</v>
      </c>
      <c r="W24" s="34"/>
      <c r="X24" s="50" t="s">
        <v>279</v>
      </c>
      <c r="Y24" s="40"/>
      <c r="Z24" s="40"/>
      <c r="AA24">
        <f t="shared" si="0"/>
        <v>0</v>
      </c>
      <c r="AB24">
        <f t="shared" si="1"/>
        <v>0</v>
      </c>
      <c r="AC24">
        <f t="shared" si="2"/>
        <v>0</v>
      </c>
      <c r="AD24">
        <f t="shared" si="3"/>
        <v>0</v>
      </c>
      <c r="AE24">
        <f t="shared" si="4"/>
        <v>0</v>
      </c>
      <c r="AF24">
        <f t="shared" si="5"/>
        <v>0</v>
      </c>
      <c r="AG24">
        <f t="shared" si="6"/>
        <v>0</v>
      </c>
      <c r="AH24">
        <f t="shared" si="7"/>
        <v>0</v>
      </c>
      <c r="AI24">
        <f t="shared" si="8"/>
        <v>0</v>
      </c>
      <c r="AJ24">
        <f>IF( $AV24=FALSE,VLOOKUP(Properties!$B$4, Confidentiality_Requirement,3,FALSE),0)</f>
        <v>0</v>
      </c>
      <c r="AK24">
        <f>IF( $AV24=FALSE,VLOOKUP(Properties!$B$5, Integrity_Requirement,3,FALSE),0)</f>
        <v>0</v>
      </c>
      <c r="AL24">
        <f>IF( $AV24=FALSE,VLOOKUP(Properties!$B$6, Availability_Requirement,3,FALSE),0)</f>
        <v>0</v>
      </c>
      <c r="AM24" s="14">
        <f t="shared" si="9"/>
        <v>0</v>
      </c>
      <c r="AN24" s="14">
        <f t="shared" si="10"/>
        <v>0</v>
      </c>
      <c r="AO24" s="4">
        <f t="shared" si="11"/>
        <v>0</v>
      </c>
      <c r="AP24" s="15">
        <f t="shared" si="12"/>
        <v>0</v>
      </c>
      <c r="AQ24" s="15">
        <f t="shared" si="13"/>
        <v>0</v>
      </c>
      <c r="AR24" s="15">
        <f t="shared" si="14"/>
        <v>0</v>
      </c>
      <c r="AS24" s="15">
        <f t="shared" si="15"/>
        <v>0</v>
      </c>
      <c r="AT24">
        <f t="shared" si="16"/>
        <v>0</v>
      </c>
      <c r="AU24">
        <f t="shared" si="17"/>
        <v>0</v>
      </c>
      <c r="AV24" t="b">
        <f t="shared" si="18"/>
        <v>1</v>
      </c>
    </row>
    <row r="25" spans="1:48" ht="168" customHeight="1" x14ac:dyDescent="0.25">
      <c r="A25" s="39">
        <v>40</v>
      </c>
      <c r="B25" s="29" t="s">
        <v>337</v>
      </c>
      <c r="C25" s="29" t="s">
        <v>428</v>
      </c>
      <c r="D25" s="29" t="s">
        <v>338</v>
      </c>
      <c r="E25" s="42" t="s">
        <v>45</v>
      </c>
      <c r="F25" s="27" t="s">
        <v>45</v>
      </c>
      <c r="G25" s="27"/>
      <c r="H25" s="27" t="s">
        <v>45</v>
      </c>
      <c r="I25" s="27"/>
      <c r="J25" s="27" t="s">
        <v>45</v>
      </c>
      <c r="K25" s="27"/>
      <c r="L25" s="27" t="s">
        <v>45</v>
      </c>
      <c r="M25" s="27"/>
      <c r="N25" s="27" t="s">
        <v>45</v>
      </c>
      <c r="O25" s="27"/>
      <c r="P25" s="27" t="s">
        <v>45</v>
      </c>
      <c r="Q25" s="27"/>
      <c r="R25" s="31" t="s">
        <v>45</v>
      </c>
      <c r="S25" s="27"/>
      <c r="T25" s="31" t="s">
        <v>15</v>
      </c>
      <c r="U25" s="27"/>
      <c r="V25" s="28" t="str">
        <f>IF($AV25,"INCOMPLETE", IF(AT25&lt;0,0,AT25))</f>
        <v>INCOMPLETE</v>
      </c>
      <c r="W25" s="34"/>
      <c r="X25" s="50" t="s">
        <v>268</v>
      </c>
      <c r="Y25" s="40"/>
      <c r="Z25" s="40"/>
      <c r="AA25">
        <f t="shared" si="0"/>
        <v>0</v>
      </c>
      <c r="AB25">
        <f t="shared" si="1"/>
        <v>0</v>
      </c>
      <c r="AC25">
        <f t="shared" si="2"/>
        <v>0</v>
      </c>
      <c r="AD25">
        <f t="shared" si="3"/>
        <v>0</v>
      </c>
      <c r="AE25">
        <f t="shared" si="4"/>
        <v>0</v>
      </c>
      <c r="AF25">
        <f t="shared" si="5"/>
        <v>0</v>
      </c>
      <c r="AG25">
        <f t="shared" si="6"/>
        <v>0</v>
      </c>
      <c r="AH25">
        <f t="shared" si="7"/>
        <v>0</v>
      </c>
      <c r="AI25">
        <f t="shared" si="8"/>
        <v>0</v>
      </c>
      <c r="AJ25">
        <f>IF( $AV25=FALSE,VLOOKUP(Properties!$B$4, Confidentiality_Requirement,3,FALSE),0)</f>
        <v>0</v>
      </c>
      <c r="AK25">
        <f>IF( $AV25=FALSE,VLOOKUP(Properties!$B$5, Integrity_Requirement,3,FALSE),0)</f>
        <v>0</v>
      </c>
      <c r="AL25">
        <f>IF( $AV25=FALSE,VLOOKUP(Properties!$B$6, Availability_Requirement,3,FALSE),0)</f>
        <v>0</v>
      </c>
      <c r="AM25" s="14">
        <f t="shared" si="9"/>
        <v>0</v>
      </c>
      <c r="AN25" s="14">
        <f t="shared" si="10"/>
        <v>0</v>
      </c>
      <c r="AO25" s="4">
        <f t="shared" si="11"/>
        <v>0</v>
      </c>
      <c r="AP25" s="15">
        <f t="shared" si="12"/>
        <v>0</v>
      </c>
      <c r="AQ25" s="15">
        <f t="shared" si="13"/>
        <v>0</v>
      </c>
      <c r="AR25" s="15">
        <f t="shared" si="14"/>
        <v>0</v>
      </c>
      <c r="AS25" s="15">
        <f t="shared" si="15"/>
        <v>0</v>
      </c>
      <c r="AT25">
        <f t="shared" si="16"/>
        <v>0</v>
      </c>
      <c r="AU25">
        <f t="shared" si="17"/>
        <v>0</v>
      </c>
      <c r="AV25" t="b">
        <f t="shared" si="18"/>
        <v>1</v>
      </c>
    </row>
    <row r="26" spans="1:48" ht="115.05" customHeight="1" x14ac:dyDescent="0.25">
      <c r="A26" s="39">
        <v>41</v>
      </c>
      <c r="B26" s="29" t="s">
        <v>271</v>
      </c>
      <c r="C26" s="29" t="s">
        <v>430</v>
      </c>
      <c r="D26" s="29" t="s">
        <v>334</v>
      </c>
      <c r="E26" s="42" t="s">
        <v>45</v>
      </c>
      <c r="F26" s="27" t="s">
        <v>45</v>
      </c>
      <c r="G26" s="27"/>
      <c r="H26" s="27" t="s">
        <v>45</v>
      </c>
      <c r="I26" s="27"/>
      <c r="J26" s="27" t="s">
        <v>45</v>
      </c>
      <c r="K26" s="27"/>
      <c r="L26" s="27" t="s">
        <v>45</v>
      </c>
      <c r="M26" s="27"/>
      <c r="N26" s="27" t="s">
        <v>45</v>
      </c>
      <c r="O26" s="27"/>
      <c r="P26" s="27" t="s">
        <v>45</v>
      </c>
      <c r="Q26" s="27"/>
      <c r="R26" s="31" t="s">
        <v>45</v>
      </c>
      <c r="S26" s="27"/>
      <c r="T26" s="31" t="s">
        <v>15</v>
      </c>
      <c r="U26" s="27"/>
      <c r="V26" s="28" t="str">
        <f>IF($AV26,"INCOMPLETE", IF(AT26&lt;0,0,AT26))</f>
        <v>INCOMPLETE</v>
      </c>
      <c r="W26" s="34"/>
      <c r="X26" s="50" t="s">
        <v>274</v>
      </c>
      <c r="Y26" s="40"/>
      <c r="Z26" s="40"/>
      <c r="AA26">
        <f t="shared" si="0"/>
        <v>0</v>
      </c>
      <c r="AB26">
        <f t="shared" si="1"/>
        <v>0</v>
      </c>
      <c r="AC26">
        <f t="shared" si="2"/>
        <v>0</v>
      </c>
      <c r="AD26">
        <f t="shared" si="3"/>
        <v>0</v>
      </c>
      <c r="AE26">
        <f t="shared" si="4"/>
        <v>0</v>
      </c>
      <c r="AF26">
        <f t="shared" si="5"/>
        <v>0</v>
      </c>
      <c r="AG26">
        <f t="shared" si="6"/>
        <v>0</v>
      </c>
      <c r="AH26">
        <f t="shared" si="7"/>
        <v>0</v>
      </c>
      <c r="AI26">
        <f t="shared" si="8"/>
        <v>0</v>
      </c>
      <c r="AJ26">
        <f>IF( $AV26=FALSE,VLOOKUP(Properties!$B$4, Confidentiality_Requirement,3,FALSE),0)</f>
        <v>0</v>
      </c>
      <c r="AK26">
        <f>IF( $AV26=FALSE,VLOOKUP(Properties!$B$5, Integrity_Requirement,3,FALSE),0)</f>
        <v>0</v>
      </c>
      <c r="AL26">
        <f>IF( $AV26=FALSE,VLOOKUP(Properties!$B$6, Availability_Requirement,3,FALSE),0)</f>
        <v>0</v>
      </c>
      <c r="AM26" s="14">
        <f t="shared" si="9"/>
        <v>0</v>
      </c>
      <c r="AN26" s="14">
        <f t="shared" si="10"/>
        <v>0</v>
      </c>
      <c r="AO26" s="4">
        <f t="shared" si="11"/>
        <v>0</v>
      </c>
      <c r="AP26" s="15">
        <f t="shared" si="12"/>
        <v>0</v>
      </c>
      <c r="AQ26" s="15">
        <f t="shared" si="13"/>
        <v>0</v>
      </c>
      <c r="AR26" s="15">
        <f t="shared" si="14"/>
        <v>0</v>
      </c>
      <c r="AS26" s="15">
        <f t="shared" si="15"/>
        <v>0</v>
      </c>
      <c r="AT26">
        <f t="shared" si="16"/>
        <v>0</v>
      </c>
      <c r="AU26">
        <f t="shared" si="17"/>
        <v>0</v>
      </c>
      <c r="AV26" t="b">
        <f t="shared" si="18"/>
        <v>1</v>
      </c>
    </row>
    <row r="27" spans="1:48" ht="177.6" customHeight="1" x14ac:dyDescent="0.25">
      <c r="A27" s="39">
        <v>42</v>
      </c>
      <c r="B27" s="29" t="s">
        <v>277</v>
      </c>
      <c r="C27" s="29" t="s">
        <v>430</v>
      </c>
      <c r="D27" s="29" t="s">
        <v>278</v>
      </c>
      <c r="E27" s="42" t="s">
        <v>45</v>
      </c>
      <c r="F27" s="27" t="s">
        <v>45</v>
      </c>
      <c r="G27" s="27"/>
      <c r="H27" s="27" t="s">
        <v>45</v>
      </c>
      <c r="I27" s="27"/>
      <c r="J27" s="27" t="s">
        <v>45</v>
      </c>
      <c r="K27" s="27"/>
      <c r="L27" s="27" t="s">
        <v>45</v>
      </c>
      <c r="M27" s="27"/>
      <c r="N27" s="27" t="s">
        <v>45</v>
      </c>
      <c r="O27" s="27"/>
      <c r="P27" s="27" t="s">
        <v>45</v>
      </c>
      <c r="Q27" s="27"/>
      <c r="R27" s="31" t="s">
        <v>45</v>
      </c>
      <c r="S27" s="27"/>
      <c r="T27" s="31" t="s">
        <v>15</v>
      </c>
      <c r="U27" s="27"/>
      <c r="V27" s="28" t="str">
        <f>IF($AV27,"INCOMPLETE", IF(AT27&lt;0,0,AT27))</f>
        <v>INCOMPLETE</v>
      </c>
      <c r="W27" s="34"/>
      <c r="X27" s="50" t="s">
        <v>279</v>
      </c>
      <c r="Y27" s="40"/>
      <c r="Z27" s="40"/>
      <c r="AA27">
        <f t="shared" si="0"/>
        <v>0</v>
      </c>
      <c r="AB27">
        <f t="shared" si="1"/>
        <v>0</v>
      </c>
      <c r="AC27">
        <f t="shared" si="2"/>
        <v>0</v>
      </c>
      <c r="AD27">
        <f t="shared" si="3"/>
        <v>0</v>
      </c>
      <c r="AE27">
        <f t="shared" si="4"/>
        <v>0</v>
      </c>
      <c r="AF27">
        <f t="shared" si="5"/>
        <v>0</v>
      </c>
      <c r="AG27">
        <f t="shared" si="6"/>
        <v>0</v>
      </c>
      <c r="AH27">
        <f t="shared" si="7"/>
        <v>0</v>
      </c>
      <c r="AI27">
        <f t="shared" si="8"/>
        <v>0</v>
      </c>
      <c r="AJ27">
        <f>IF( $AV27=FALSE,VLOOKUP(Properties!$B$4, Confidentiality_Requirement,3,FALSE),0)</f>
        <v>0</v>
      </c>
      <c r="AK27">
        <f>IF( $AV27=FALSE,VLOOKUP(Properties!$B$5, Integrity_Requirement,3,FALSE),0)</f>
        <v>0</v>
      </c>
      <c r="AL27">
        <f>IF( $AV27=FALSE,VLOOKUP(Properties!$B$6, Availability_Requirement,3,FALSE),0)</f>
        <v>0</v>
      </c>
      <c r="AM27" s="14">
        <f t="shared" si="9"/>
        <v>0</v>
      </c>
      <c r="AN27" s="14">
        <f t="shared" si="10"/>
        <v>0</v>
      </c>
      <c r="AO27" s="4">
        <f t="shared" si="11"/>
        <v>0</v>
      </c>
      <c r="AP27" s="15">
        <f t="shared" si="12"/>
        <v>0</v>
      </c>
      <c r="AQ27" s="15">
        <f t="shared" si="13"/>
        <v>0</v>
      </c>
      <c r="AR27" s="15">
        <f t="shared" si="14"/>
        <v>0</v>
      </c>
      <c r="AS27" s="15">
        <f t="shared" si="15"/>
        <v>0</v>
      </c>
      <c r="AT27">
        <f t="shared" si="16"/>
        <v>0</v>
      </c>
      <c r="AU27">
        <f t="shared" si="17"/>
        <v>0</v>
      </c>
      <c r="AV27" t="b">
        <f t="shared" si="18"/>
        <v>1</v>
      </c>
    </row>
    <row r="28" spans="1:48" ht="76.05" customHeight="1" x14ac:dyDescent="0.25">
      <c r="A28" s="39">
        <v>94</v>
      </c>
      <c r="B28" s="29" t="s">
        <v>403</v>
      </c>
      <c r="C28" s="29" t="s">
        <v>431</v>
      </c>
      <c r="D28" s="29" t="s">
        <v>404</v>
      </c>
      <c r="E28" s="42" t="s">
        <v>45</v>
      </c>
      <c r="F28" s="27" t="s">
        <v>45</v>
      </c>
      <c r="G28" s="27"/>
      <c r="H28" s="27" t="s">
        <v>45</v>
      </c>
      <c r="I28" s="27"/>
      <c r="J28" s="27" t="s">
        <v>45</v>
      </c>
      <c r="K28" s="27"/>
      <c r="L28" s="27" t="s">
        <v>45</v>
      </c>
      <c r="M28" s="27"/>
      <c r="N28" s="27" t="s">
        <v>45</v>
      </c>
      <c r="O28" s="27"/>
      <c r="P28" s="27" t="s">
        <v>45</v>
      </c>
      <c r="Q28" s="27"/>
      <c r="R28" s="31" t="s">
        <v>45</v>
      </c>
      <c r="S28" s="27"/>
      <c r="T28" s="31" t="s">
        <v>15</v>
      </c>
      <c r="U28" s="27"/>
      <c r="V28" s="28" t="str">
        <f>IF($AV28,"INCOMPLETE", IF(AT28&lt;0,0,AT28))</f>
        <v>INCOMPLETE</v>
      </c>
      <c r="W28" s="34"/>
      <c r="X28" s="50" t="s">
        <v>330</v>
      </c>
      <c r="Y28" s="40"/>
      <c r="Z28" s="40"/>
      <c r="AA28">
        <f t="shared" si="0"/>
        <v>0</v>
      </c>
      <c r="AB28">
        <f t="shared" si="1"/>
        <v>0</v>
      </c>
      <c r="AC28">
        <f t="shared" si="2"/>
        <v>0</v>
      </c>
      <c r="AD28">
        <f t="shared" si="3"/>
        <v>0</v>
      </c>
      <c r="AE28">
        <f t="shared" si="4"/>
        <v>0</v>
      </c>
      <c r="AF28">
        <f t="shared" si="5"/>
        <v>0</v>
      </c>
      <c r="AG28">
        <f t="shared" si="6"/>
        <v>0</v>
      </c>
      <c r="AH28">
        <f t="shared" si="7"/>
        <v>0</v>
      </c>
      <c r="AI28">
        <f t="shared" si="8"/>
        <v>0</v>
      </c>
      <c r="AJ28">
        <f>IF( $AV28=FALSE,VLOOKUP(Properties!$B$4, Confidentiality_Requirement,3,FALSE),0)</f>
        <v>0</v>
      </c>
      <c r="AK28">
        <f>IF( $AV28=FALSE,VLOOKUP(Properties!$B$5, Integrity_Requirement,3,FALSE),0)</f>
        <v>0</v>
      </c>
      <c r="AL28">
        <f>IF( $AV28=FALSE,VLOOKUP(Properties!$B$6, Availability_Requirement,3,FALSE),0)</f>
        <v>0</v>
      </c>
      <c r="AM28" s="14">
        <f t="shared" si="9"/>
        <v>0</v>
      </c>
      <c r="AN28" s="14">
        <f t="shared" si="10"/>
        <v>0</v>
      </c>
      <c r="AO28" s="4">
        <f t="shared" si="11"/>
        <v>0</v>
      </c>
      <c r="AP28" s="15">
        <f t="shared" si="12"/>
        <v>0</v>
      </c>
      <c r="AQ28" s="15">
        <f t="shared" si="13"/>
        <v>0</v>
      </c>
      <c r="AR28" s="15">
        <f t="shared" si="14"/>
        <v>0</v>
      </c>
      <c r="AS28" s="15">
        <f t="shared" si="15"/>
        <v>0</v>
      </c>
      <c r="AT28">
        <f t="shared" si="16"/>
        <v>0</v>
      </c>
      <c r="AU28">
        <f t="shared" si="17"/>
        <v>0</v>
      </c>
      <c r="AV28" t="b">
        <f t="shared" si="18"/>
        <v>1</v>
      </c>
    </row>
    <row r="29" spans="1:48" ht="97.8" customHeight="1" x14ac:dyDescent="0.25">
      <c r="A29" s="39">
        <v>95</v>
      </c>
      <c r="B29" s="29" t="s">
        <v>401</v>
      </c>
      <c r="C29" s="29" t="s">
        <v>432</v>
      </c>
      <c r="D29" s="29" t="s">
        <v>402</v>
      </c>
      <c r="E29" s="42" t="s">
        <v>45</v>
      </c>
      <c r="F29" s="27" t="s">
        <v>45</v>
      </c>
      <c r="G29" s="27"/>
      <c r="H29" s="27" t="s">
        <v>45</v>
      </c>
      <c r="I29" s="27"/>
      <c r="J29" s="27" t="s">
        <v>45</v>
      </c>
      <c r="K29" s="27"/>
      <c r="L29" s="27" t="s">
        <v>45</v>
      </c>
      <c r="M29" s="27"/>
      <c r="N29" s="27" t="s">
        <v>45</v>
      </c>
      <c r="O29" s="27"/>
      <c r="P29" s="27" t="s">
        <v>45</v>
      </c>
      <c r="Q29" s="27"/>
      <c r="R29" s="31" t="s">
        <v>45</v>
      </c>
      <c r="S29" s="27"/>
      <c r="T29" s="31" t="s">
        <v>15</v>
      </c>
      <c r="U29" s="27"/>
      <c r="V29" s="28" t="str">
        <f>IF($AV29,"INCOMPLETE", IF(AT29&lt;0,0,AT29))</f>
        <v>INCOMPLETE</v>
      </c>
      <c r="W29" s="34"/>
      <c r="X29" s="50" t="s">
        <v>300</v>
      </c>
      <c r="Y29" s="40"/>
      <c r="Z29" s="40"/>
      <c r="AA29">
        <f t="shared" si="0"/>
        <v>0</v>
      </c>
      <c r="AB29">
        <f t="shared" si="1"/>
        <v>0</v>
      </c>
      <c r="AC29">
        <f t="shared" si="2"/>
        <v>0</v>
      </c>
      <c r="AD29">
        <f t="shared" si="3"/>
        <v>0</v>
      </c>
      <c r="AE29">
        <f t="shared" si="4"/>
        <v>0</v>
      </c>
      <c r="AF29">
        <f t="shared" si="5"/>
        <v>0</v>
      </c>
      <c r="AG29">
        <f t="shared" si="6"/>
        <v>0</v>
      </c>
      <c r="AH29">
        <f t="shared" si="7"/>
        <v>0</v>
      </c>
      <c r="AI29">
        <f t="shared" si="8"/>
        <v>0</v>
      </c>
      <c r="AJ29">
        <f>IF( $AV29=FALSE,VLOOKUP(Properties!$B$4, Confidentiality_Requirement,3,FALSE),0)</f>
        <v>0</v>
      </c>
      <c r="AK29">
        <f>IF( $AV29=FALSE,VLOOKUP(Properties!$B$5, Integrity_Requirement,3,FALSE),0)</f>
        <v>0</v>
      </c>
      <c r="AL29">
        <f>IF( $AV29=FALSE,VLOOKUP(Properties!$B$6, Availability_Requirement,3,FALSE),0)</f>
        <v>0</v>
      </c>
      <c r="AM29" s="14">
        <f t="shared" si="9"/>
        <v>0</v>
      </c>
      <c r="AN29" s="14">
        <f t="shared" si="10"/>
        <v>0</v>
      </c>
      <c r="AO29" s="4">
        <f t="shared" si="11"/>
        <v>0</v>
      </c>
      <c r="AP29" s="15">
        <f t="shared" si="12"/>
        <v>0</v>
      </c>
      <c r="AQ29" s="15">
        <f t="shared" si="13"/>
        <v>0</v>
      </c>
      <c r="AR29" s="15">
        <f t="shared" si="14"/>
        <v>0</v>
      </c>
      <c r="AS29" s="15">
        <f t="shared" si="15"/>
        <v>0</v>
      </c>
      <c r="AT29">
        <f t="shared" si="16"/>
        <v>0</v>
      </c>
      <c r="AU29">
        <f t="shared" si="17"/>
        <v>0</v>
      </c>
      <c r="AV29" t="b">
        <f t="shared" si="18"/>
        <v>1</v>
      </c>
    </row>
    <row r="30" spans="1:48" ht="61.95" customHeight="1" x14ac:dyDescent="0.25">
      <c r="A30" s="57">
        <v>96</v>
      </c>
      <c r="B30" s="29" t="s">
        <v>399</v>
      </c>
      <c r="C30" s="29" t="s">
        <v>433</v>
      </c>
      <c r="D30" s="29" t="s">
        <v>400</v>
      </c>
      <c r="E30" s="42" t="s">
        <v>33</v>
      </c>
      <c r="F30" s="27" t="s">
        <v>12</v>
      </c>
      <c r="G30" s="27"/>
      <c r="H30" s="27" t="s">
        <v>2</v>
      </c>
      <c r="I30" s="27"/>
      <c r="J30" s="27" t="s">
        <v>15</v>
      </c>
      <c r="K30" s="27"/>
      <c r="L30" s="27" t="s">
        <v>16</v>
      </c>
      <c r="M30" s="27"/>
      <c r="N30" s="27" t="s">
        <v>16</v>
      </c>
      <c r="O30" s="27"/>
      <c r="P30" s="27" t="s">
        <v>15</v>
      </c>
      <c r="Q30" s="27"/>
      <c r="R30" s="31" t="s">
        <v>63</v>
      </c>
      <c r="S30" s="27"/>
      <c r="T30" s="31" t="s">
        <v>15</v>
      </c>
      <c r="U30" s="27"/>
      <c r="V30" s="28">
        <f>IF($AV30,"INCOMPLETE", IF(AT30&lt;0,0,AT30))</f>
        <v>5.8</v>
      </c>
      <c r="W30" s="34"/>
      <c r="X30" s="50" t="s">
        <v>323</v>
      </c>
      <c r="Y30" s="40"/>
      <c r="Z30" s="40"/>
      <c r="AA30">
        <f t="shared" si="0"/>
        <v>0.39500000000000002</v>
      </c>
      <c r="AB30">
        <f t="shared" si="1"/>
        <v>0.35</v>
      </c>
      <c r="AC30">
        <f t="shared" si="2"/>
        <v>0.70399999999999996</v>
      </c>
      <c r="AD30">
        <f t="shared" si="3"/>
        <v>0.27500000000000002</v>
      </c>
      <c r="AE30">
        <f t="shared" si="4"/>
        <v>0.27500000000000002</v>
      </c>
      <c r="AF30">
        <f t="shared" si="5"/>
        <v>0</v>
      </c>
      <c r="AG30">
        <f t="shared" si="6"/>
        <v>2.6</v>
      </c>
      <c r="AH30">
        <f t="shared" si="7"/>
        <v>0.3</v>
      </c>
      <c r="AI30">
        <f t="shared" si="8"/>
        <v>0</v>
      </c>
      <c r="AJ30">
        <f>IF( $AV30=FALSE,VLOOKUP(Properties!$B$4, Confidentiality_Requirement,3,FALSE),0)</f>
        <v>1.51</v>
      </c>
      <c r="AK30">
        <f>IF( $AV30=FALSE,VLOOKUP(Properties!$B$5, Integrity_Requirement,3,FALSE),0)</f>
        <v>1.51</v>
      </c>
      <c r="AL30">
        <f>IF( $AV30=FALSE,VLOOKUP(Properties!$B$6, Availability_Requirement,3,FALSE),0)</f>
        <v>1.51</v>
      </c>
      <c r="AM30" s="14">
        <f t="shared" si="9"/>
        <v>4.9382437499999998</v>
      </c>
      <c r="AN30" s="14">
        <f t="shared" si="10"/>
        <v>1.9465600000000001</v>
      </c>
      <c r="AO30" s="4">
        <f t="shared" si="11"/>
        <v>1.1759999999999999</v>
      </c>
      <c r="AP30" s="15">
        <f t="shared" si="12"/>
        <v>6.9</v>
      </c>
      <c r="AQ30" s="15">
        <f t="shared" si="13"/>
        <v>4</v>
      </c>
      <c r="AR30" s="15">
        <f t="shared" si="14"/>
        <v>4</v>
      </c>
      <c r="AS30" s="15">
        <f t="shared" si="15"/>
        <v>5.8</v>
      </c>
      <c r="AT30">
        <f t="shared" si="16"/>
        <v>5.8</v>
      </c>
      <c r="AU30">
        <f t="shared" si="17"/>
        <v>5.8</v>
      </c>
      <c r="AV30" t="b">
        <f t="shared" si="18"/>
        <v>0</v>
      </c>
    </row>
    <row r="31" spans="1:48" ht="48" customHeight="1" x14ac:dyDescent="0.25">
      <c r="A31" s="39">
        <v>97</v>
      </c>
      <c r="B31" s="29" t="s">
        <v>396</v>
      </c>
      <c r="C31" s="29" t="s">
        <v>434</v>
      </c>
      <c r="D31" s="29" t="s">
        <v>398</v>
      </c>
      <c r="E31" s="42" t="s">
        <v>45</v>
      </c>
      <c r="F31" s="27" t="s">
        <v>45</v>
      </c>
      <c r="G31" s="27"/>
      <c r="H31" s="27" t="s">
        <v>45</v>
      </c>
      <c r="I31" s="27"/>
      <c r="J31" s="27" t="s">
        <v>45</v>
      </c>
      <c r="K31" s="27"/>
      <c r="L31" s="27" t="s">
        <v>45</v>
      </c>
      <c r="M31" s="27"/>
      <c r="N31" s="27" t="s">
        <v>45</v>
      </c>
      <c r="O31" s="27"/>
      <c r="P31" s="27" t="s">
        <v>45</v>
      </c>
      <c r="Q31" s="27"/>
      <c r="R31" s="31" t="s">
        <v>45</v>
      </c>
      <c r="S31" s="27"/>
      <c r="T31" s="31" t="s">
        <v>15</v>
      </c>
      <c r="U31" s="27"/>
      <c r="V31" s="28" t="str">
        <f>IF($AV31,"INCOMPLETE", IF(AT31&lt;0,0,AT31))</f>
        <v>INCOMPLETE</v>
      </c>
      <c r="W31" s="34"/>
      <c r="X31" s="50" t="s">
        <v>318</v>
      </c>
      <c r="Y31" s="40"/>
      <c r="Z31" s="40"/>
      <c r="AA31">
        <f t="shared" si="0"/>
        <v>0</v>
      </c>
      <c r="AB31">
        <f t="shared" si="1"/>
        <v>0</v>
      </c>
      <c r="AC31">
        <f t="shared" si="2"/>
        <v>0</v>
      </c>
      <c r="AD31">
        <f t="shared" si="3"/>
        <v>0</v>
      </c>
      <c r="AE31">
        <f t="shared" si="4"/>
        <v>0</v>
      </c>
      <c r="AF31">
        <f t="shared" si="5"/>
        <v>0</v>
      </c>
      <c r="AG31">
        <f t="shared" si="6"/>
        <v>0</v>
      </c>
      <c r="AH31">
        <f t="shared" si="7"/>
        <v>0</v>
      </c>
      <c r="AI31">
        <f t="shared" si="8"/>
        <v>0</v>
      </c>
      <c r="AJ31">
        <f>IF( $AV31=FALSE,VLOOKUP(Properties!$B$4, Confidentiality_Requirement,3,FALSE),0)</f>
        <v>0</v>
      </c>
      <c r="AK31">
        <f>IF( $AV31=FALSE,VLOOKUP(Properties!$B$5, Integrity_Requirement,3,FALSE),0)</f>
        <v>0</v>
      </c>
      <c r="AL31">
        <f>IF( $AV31=FALSE,VLOOKUP(Properties!$B$6, Availability_Requirement,3,FALSE),0)</f>
        <v>0</v>
      </c>
      <c r="AM31" s="14">
        <f t="shared" si="9"/>
        <v>0</v>
      </c>
      <c r="AN31" s="14">
        <f t="shared" si="10"/>
        <v>0</v>
      </c>
      <c r="AO31" s="4">
        <f t="shared" si="11"/>
        <v>0</v>
      </c>
      <c r="AP31" s="15">
        <f t="shared" si="12"/>
        <v>0</v>
      </c>
      <c r="AQ31" s="15">
        <f t="shared" si="13"/>
        <v>0</v>
      </c>
      <c r="AR31" s="15">
        <f t="shared" si="14"/>
        <v>0</v>
      </c>
      <c r="AS31" s="15">
        <f t="shared" si="15"/>
        <v>0</v>
      </c>
      <c r="AT31">
        <f t="shared" si="16"/>
        <v>0</v>
      </c>
      <c r="AU31">
        <f t="shared" si="17"/>
        <v>0</v>
      </c>
      <c r="AV31" t="b">
        <f t="shared" si="18"/>
        <v>1</v>
      </c>
    </row>
    <row r="32" spans="1:48" ht="76.05" customHeight="1" x14ac:dyDescent="0.25">
      <c r="A32" s="39">
        <v>100</v>
      </c>
      <c r="B32" s="29" t="s">
        <v>393</v>
      </c>
      <c r="C32" s="29" t="s">
        <v>435</v>
      </c>
      <c r="D32" s="29" t="s">
        <v>394</v>
      </c>
      <c r="E32" s="42" t="s">
        <v>45</v>
      </c>
      <c r="F32" s="27" t="s">
        <v>45</v>
      </c>
      <c r="G32" s="27"/>
      <c r="H32" s="27" t="s">
        <v>45</v>
      </c>
      <c r="I32" s="27"/>
      <c r="J32" s="27" t="s">
        <v>45</v>
      </c>
      <c r="K32" s="27"/>
      <c r="L32" s="27" t="s">
        <v>45</v>
      </c>
      <c r="M32" s="27"/>
      <c r="N32" s="27" t="s">
        <v>45</v>
      </c>
      <c r="O32" s="27"/>
      <c r="P32" s="27" t="s">
        <v>45</v>
      </c>
      <c r="Q32" s="27"/>
      <c r="R32" s="31" t="s">
        <v>45</v>
      </c>
      <c r="S32" s="27"/>
      <c r="T32" s="31" t="s">
        <v>15</v>
      </c>
      <c r="U32" s="27"/>
      <c r="V32" s="28" t="str">
        <f>IF($AV32,"INCOMPLETE", IF(AT32&lt;0,0,AT32))</f>
        <v>INCOMPLETE</v>
      </c>
      <c r="W32" s="34"/>
      <c r="X32" s="50" t="s">
        <v>330</v>
      </c>
      <c r="Y32" s="40"/>
      <c r="Z32" s="40"/>
      <c r="AA32">
        <f t="shared" si="0"/>
        <v>0</v>
      </c>
      <c r="AB32">
        <f t="shared" si="1"/>
        <v>0</v>
      </c>
      <c r="AC32">
        <f t="shared" si="2"/>
        <v>0</v>
      </c>
      <c r="AD32">
        <f t="shared" si="3"/>
        <v>0</v>
      </c>
      <c r="AE32">
        <f t="shared" si="4"/>
        <v>0</v>
      </c>
      <c r="AF32">
        <f t="shared" si="5"/>
        <v>0</v>
      </c>
      <c r="AG32">
        <f t="shared" si="6"/>
        <v>0</v>
      </c>
      <c r="AH32">
        <f t="shared" si="7"/>
        <v>0</v>
      </c>
      <c r="AI32">
        <f t="shared" si="8"/>
        <v>0</v>
      </c>
      <c r="AJ32">
        <f>IF( $AV32=FALSE,VLOOKUP(Properties!$B$4, Confidentiality_Requirement,3,FALSE),0)</f>
        <v>0</v>
      </c>
      <c r="AK32">
        <f>IF( $AV32=FALSE,VLOOKUP(Properties!$B$5, Integrity_Requirement,3,FALSE),0)</f>
        <v>0</v>
      </c>
      <c r="AL32">
        <f>IF( $AV32=FALSE,VLOOKUP(Properties!$B$6, Availability_Requirement,3,FALSE),0)</f>
        <v>0</v>
      </c>
      <c r="AM32" s="14">
        <f t="shared" si="9"/>
        <v>0</v>
      </c>
      <c r="AN32" s="14">
        <f t="shared" si="10"/>
        <v>0</v>
      </c>
      <c r="AO32" s="4">
        <f t="shared" si="11"/>
        <v>0</v>
      </c>
      <c r="AP32" s="15">
        <f t="shared" si="12"/>
        <v>0</v>
      </c>
      <c r="AQ32" s="15">
        <f t="shared" si="13"/>
        <v>0</v>
      </c>
      <c r="AR32" s="15">
        <f t="shared" si="14"/>
        <v>0</v>
      </c>
      <c r="AS32" s="15">
        <f t="shared" si="15"/>
        <v>0</v>
      </c>
      <c r="AT32">
        <f t="shared" si="16"/>
        <v>0</v>
      </c>
      <c r="AU32">
        <f t="shared" si="17"/>
        <v>0</v>
      </c>
      <c r="AV32" t="b">
        <f t="shared" si="18"/>
        <v>1</v>
      </c>
    </row>
    <row r="33" spans="1:48" ht="113.4" customHeight="1" x14ac:dyDescent="0.25">
      <c r="A33" s="39">
        <v>101</v>
      </c>
      <c r="B33" s="29" t="s">
        <v>391</v>
      </c>
      <c r="C33" s="29" t="s">
        <v>436</v>
      </c>
      <c r="D33" s="29" t="s">
        <v>392</v>
      </c>
      <c r="E33" s="42" t="s">
        <v>45</v>
      </c>
      <c r="F33" s="27" t="s">
        <v>45</v>
      </c>
      <c r="G33" s="27"/>
      <c r="H33" s="27" t="s">
        <v>45</v>
      </c>
      <c r="I33" s="27"/>
      <c r="J33" s="27" t="s">
        <v>45</v>
      </c>
      <c r="K33" s="27"/>
      <c r="L33" s="27" t="s">
        <v>45</v>
      </c>
      <c r="M33" s="27"/>
      <c r="N33" s="27" t="s">
        <v>45</v>
      </c>
      <c r="O33" s="27"/>
      <c r="P33" s="27" t="s">
        <v>45</v>
      </c>
      <c r="Q33" s="27"/>
      <c r="R33" s="31" t="s">
        <v>45</v>
      </c>
      <c r="S33" s="27"/>
      <c r="T33" s="31" t="s">
        <v>15</v>
      </c>
      <c r="U33" s="27"/>
      <c r="V33" s="28" t="str">
        <f>IF($AV33,"INCOMPLETE", IF(AT33&lt;0,0,AT33))</f>
        <v>INCOMPLETE</v>
      </c>
      <c r="W33" s="34"/>
      <c r="X33" s="50" t="s">
        <v>300</v>
      </c>
      <c r="Y33" s="40"/>
      <c r="Z33" s="40"/>
      <c r="AA33">
        <f t="shared" si="0"/>
        <v>0</v>
      </c>
      <c r="AB33">
        <f t="shared" si="1"/>
        <v>0</v>
      </c>
      <c r="AC33">
        <f t="shared" si="2"/>
        <v>0</v>
      </c>
      <c r="AD33">
        <f t="shared" si="3"/>
        <v>0</v>
      </c>
      <c r="AE33">
        <f t="shared" si="4"/>
        <v>0</v>
      </c>
      <c r="AF33">
        <f t="shared" si="5"/>
        <v>0</v>
      </c>
      <c r="AG33">
        <f t="shared" si="6"/>
        <v>0</v>
      </c>
      <c r="AH33">
        <f t="shared" si="7"/>
        <v>0</v>
      </c>
      <c r="AI33">
        <f t="shared" si="8"/>
        <v>0</v>
      </c>
      <c r="AJ33">
        <f>IF( $AV33=FALSE,VLOOKUP(Properties!$B$4, Confidentiality_Requirement,3,FALSE),0)</f>
        <v>0</v>
      </c>
      <c r="AK33">
        <f>IF( $AV33=FALSE,VLOOKUP(Properties!$B$5, Integrity_Requirement,3,FALSE),0)</f>
        <v>0</v>
      </c>
      <c r="AL33">
        <f>IF( $AV33=FALSE,VLOOKUP(Properties!$B$6, Availability_Requirement,3,FALSE),0)</f>
        <v>0</v>
      </c>
      <c r="AM33" s="14">
        <f t="shared" si="9"/>
        <v>0</v>
      </c>
      <c r="AN33" s="14">
        <f t="shared" si="10"/>
        <v>0</v>
      </c>
      <c r="AO33" s="4">
        <f t="shared" si="11"/>
        <v>0</v>
      </c>
      <c r="AP33" s="15">
        <f t="shared" si="12"/>
        <v>0</v>
      </c>
      <c r="AQ33" s="15">
        <f t="shared" si="13"/>
        <v>0</v>
      </c>
      <c r="AR33" s="15">
        <f t="shared" si="14"/>
        <v>0</v>
      </c>
      <c r="AS33" s="15">
        <f t="shared" si="15"/>
        <v>0</v>
      </c>
      <c r="AT33">
        <f t="shared" si="16"/>
        <v>0</v>
      </c>
      <c r="AU33">
        <f t="shared" si="17"/>
        <v>0</v>
      </c>
      <c r="AV33" t="b">
        <f t="shared" si="18"/>
        <v>1</v>
      </c>
    </row>
    <row r="34" spans="1:48" ht="61.95" customHeight="1" x14ac:dyDescent="0.25">
      <c r="A34" s="39">
        <v>102</v>
      </c>
      <c r="B34" s="29" t="s">
        <v>389</v>
      </c>
      <c r="C34" s="29" t="s">
        <v>437</v>
      </c>
      <c r="D34" s="29" t="s">
        <v>390</v>
      </c>
      <c r="E34" s="42" t="s">
        <v>45</v>
      </c>
      <c r="F34" s="27" t="s">
        <v>45</v>
      </c>
      <c r="G34" s="27"/>
      <c r="H34" s="27" t="s">
        <v>45</v>
      </c>
      <c r="I34" s="27"/>
      <c r="J34" s="27" t="s">
        <v>45</v>
      </c>
      <c r="K34" s="27"/>
      <c r="L34" s="27" t="s">
        <v>45</v>
      </c>
      <c r="M34" s="27"/>
      <c r="N34" s="27" t="s">
        <v>45</v>
      </c>
      <c r="O34" s="27"/>
      <c r="P34" s="27" t="s">
        <v>45</v>
      </c>
      <c r="Q34" s="27"/>
      <c r="R34" s="31" t="s">
        <v>45</v>
      </c>
      <c r="S34" s="27"/>
      <c r="T34" s="31" t="s">
        <v>15</v>
      </c>
      <c r="U34" s="27"/>
      <c r="V34" s="28" t="str">
        <f>IF($AV34,"INCOMPLETE", IF(AT34&lt;0,0,AT34))</f>
        <v>INCOMPLETE</v>
      </c>
      <c r="W34" s="34"/>
      <c r="X34" s="50" t="s">
        <v>323</v>
      </c>
      <c r="Y34" s="40"/>
      <c r="Z34" s="40"/>
      <c r="AA34">
        <f t="shared" si="0"/>
        <v>0</v>
      </c>
      <c r="AB34">
        <f t="shared" si="1"/>
        <v>0</v>
      </c>
      <c r="AC34">
        <f t="shared" si="2"/>
        <v>0</v>
      </c>
      <c r="AD34">
        <f t="shared" si="3"/>
        <v>0</v>
      </c>
      <c r="AE34">
        <f t="shared" si="4"/>
        <v>0</v>
      </c>
      <c r="AF34">
        <f t="shared" si="5"/>
        <v>0</v>
      </c>
      <c r="AG34">
        <f t="shared" si="6"/>
        <v>0</v>
      </c>
      <c r="AH34">
        <f t="shared" si="7"/>
        <v>0</v>
      </c>
      <c r="AI34">
        <f t="shared" si="8"/>
        <v>0</v>
      </c>
      <c r="AJ34">
        <f>IF( $AV34=FALSE,VLOOKUP(Properties!$B$4, Confidentiality_Requirement,3,FALSE),0)</f>
        <v>0</v>
      </c>
      <c r="AK34">
        <f>IF( $AV34=FALSE,VLOOKUP(Properties!$B$5, Integrity_Requirement,3,FALSE),0)</f>
        <v>0</v>
      </c>
      <c r="AL34">
        <f>IF( $AV34=FALSE,VLOOKUP(Properties!$B$6, Availability_Requirement,3,FALSE),0)</f>
        <v>0</v>
      </c>
      <c r="AM34" s="14">
        <f t="shared" si="9"/>
        <v>0</v>
      </c>
      <c r="AN34" s="14">
        <f t="shared" si="10"/>
        <v>0</v>
      </c>
      <c r="AO34" s="4">
        <f t="shared" si="11"/>
        <v>0</v>
      </c>
      <c r="AP34" s="15">
        <f t="shared" si="12"/>
        <v>0</v>
      </c>
      <c r="AQ34" s="15">
        <f t="shared" si="13"/>
        <v>0</v>
      </c>
      <c r="AR34" s="15">
        <f t="shared" si="14"/>
        <v>0</v>
      </c>
      <c r="AS34" s="15">
        <f t="shared" si="15"/>
        <v>0</v>
      </c>
      <c r="AT34">
        <f t="shared" si="16"/>
        <v>0</v>
      </c>
      <c r="AU34">
        <f t="shared" si="17"/>
        <v>0</v>
      </c>
      <c r="AV34" t="b">
        <f t="shared" si="18"/>
        <v>1</v>
      </c>
    </row>
    <row r="35" spans="1:48" ht="48" customHeight="1" x14ac:dyDescent="0.25">
      <c r="A35" s="57">
        <v>103</v>
      </c>
      <c r="B35" s="29" t="s">
        <v>386</v>
      </c>
      <c r="C35" s="29" t="s">
        <v>438</v>
      </c>
      <c r="D35" s="29" t="s">
        <v>388</v>
      </c>
      <c r="E35" s="42" t="s">
        <v>32</v>
      </c>
      <c r="F35" s="27" t="s">
        <v>12</v>
      </c>
      <c r="G35" s="27"/>
      <c r="H35" s="27" t="s">
        <v>11</v>
      </c>
      <c r="I35" s="27"/>
      <c r="J35" s="27" t="s">
        <v>15</v>
      </c>
      <c r="K35" s="27"/>
      <c r="L35" s="27" t="s">
        <v>15</v>
      </c>
      <c r="M35" s="27"/>
      <c r="N35" s="27" t="s">
        <v>16</v>
      </c>
      <c r="O35" s="27"/>
      <c r="P35" s="27" t="s">
        <v>17</v>
      </c>
      <c r="Q35" s="27"/>
      <c r="R35" s="31" t="s">
        <v>65</v>
      </c>
      <c r="S35" s="27"/>
      <c r="T35" s="31" t="s">
        <v>15</v>
      </c>
      <c r="U35" s="27"/>
      <c r="V35" s="28">
        <f>IF($AV35,"INCOMPLETE", IF(AT35&lt;0,0,AT35))</f>
        <v>8.1</v>
      </c>
      <c r="W35" s="34"/>
      <c r="X35" s="50" t="s">
        <v>318</v>
      </c>
      <c r="Y35" s="40"/>
      <c r="Z35" s="40"/>
      <c r="AA35">
        <f t="shared" si="0"/>
        <v>0.39500000000000002</v>
      </c>
      <c r="AB35">
        <f t="shared" si="1"/>
        <v>0.61</v>
      </c>
      <c r="AC35">
        <f t="shared" si="2"/>
        <v>0.70399999999999996</v>
      </c>
      <c r="AD35">
        <f t="shared" si="3"/>
        <v>0</v>
      </c>
      <c r="AE35">
        <f t="shared" si="4"/>
        <v>0.27500000000000002</v>
      </c>
      <c r="AF35">
        <f t="shared" si="5"/>
        <v>0.66</v>
      </c>
      <c r="AG35">
        <f t="shared" si="6"/>
        <v>5.4</v>
      </c>
      <c r="AH35">
        <f t="shared" si="7"/>
        <v>0.4</v>
      </c>
      <c r="AI35">
        <f t="shared" si="8"/>
        <v>0</v>
      </c>
      <c r="AJ35">
        <f>IF( $AV35=FALSE,VLOOKUP(Properties!$B$4, Confidentiality_Requirement,3,FALSE),0)</f>
        <v>1.51</v>
      </c>
      <c r="AK35">
        <f>IF( $AV35=FALSE,VLOOKUP(Properties!$B$5, Integrity_Requirement,3,FALSE),0)</f>
        <v>1.51</v>
      </c>
      <c r="AL35">
        <f>IF( $AV35=FALSE,VLOOKUP(Properties!$B$6, Availability_Requirement,3,FALSE),0)</f>
        <v>1.51</v>
      </c>
      <c r="AM35" s="14">
        <f t="shared" si="9"/>
        <v>7.843935000000001</v>
      </c>
      <c r="AN35" s="14">
        <f t="shared" si="10"/>
        <v>3.3925759999999996</v>
      </c>
      <c r="AO35" s="4">
        <f t="shared" si="11"/>
        <v>1.1759999999999999</v>
      </c>
      <c r="AP35" s="15">
        <f t="shared" si="12"/>
        <v>10</v>
      </c>
      <c r="AQ35" s="15">
        <f t="shared" si="13"/>
        <v>6.9</v>
      </c>
      <c r="AR35" s="15">
        <f t="shared" si="14"/>
        <v>6.9</v>
      </c>
      <c r="AS35" s="15">
        <f t="shared" si="15"/>
        <v>8.1</v>
      </c>
      <c r="AT35">
        <f t="shared" si="16"/>
        <v>8.1</v>
      </c>
      <c r="AU35">
        <f t="shared" si="17"/>
        <v>8.1</v>
      </c>
      <c r="AV35" t="b">
        <f t="shared" si="18"/>
        <v>0</v>
      </c>
    </row>
    <row r="36" spans="1:48" ht="76.05" customHeight="1" x14ac:dyDescent="0.25">
      <c r="A36" s="57">
        <v>110</v>
      </c>
      <c r="B36" s="29" t="s">
        <v>352</v>
      </c>
      <c r="C36" s="29" t="s">
        <v>439</v>
      </c>
      <c r="D36" s="29" t="s">
        <v>353</v>
      </c>
      <c r="E36" s="42" t="s">
        <v>32</v>
      </c>
      <c r="F36" s="27" t="s">
        <v>13</v>
      </c>
      <c r="G36" s="27"/>
      <c r="H36" s="27" t="s">
        <v>3</v>
      </c>
      <c r="I36" s="27"/>
      <c r="J36" s="27" t="s">
        <v>15</v>
      </c>
      <c r="K36" s="27"/>
      <c r="L36" s="27" t="s">
        <v>15</v>
      </c>
      <c r="M36" s="27"/>
      <c r="N36" s="27" t="s">
        <v>17</v>
      </c>
      <c r="O36" s="27"/>
      <c r="P36" s="27" t="s">
        <v>16</v>
      </c>
      <c r="Q36" s="27"/>
      <c r="R36" s="31" t="s">
        <v>63</v>
      </c>
      <c r="S36" s="27"/>
      <c r="T36" s="31" t="s">
        <v>15</v>
      </c>
      <c r="U36" s="27"/>
      <c r="V36" s="28">
        <f>IF($AV36,"INCOMPLETE", IF(AT36&lt;0,0,AT36))</f>
        <v>8.8000000000000007</v>
      </c>
      <c r="W36" s="34" t="s">
        <v>488</v>
      </c>
      <c r="X36" s="50" t="s">
        <v>330</v>
      </c>
      <c r="Y36" s="40"/>
      <c r="Z36" s="40"/>
      <c r="AA36">
        <f t="shared" si="0"/>
        <v>0.64600000000000002</v>
      </c>
      <c r="AB36">
        <f t="shared" si="1"/>
        <v>0.71</v>
      </c>
      <c r="AC36">
        <f t="shared" si="2"/>
        <v>0.70399999999999996</v>
      </c>
      <c r="AD36">
        <f t="shared" si="3"/>
        <v>0</v>
      </c>
      <c r="AE36">
        <f t="shared" si="4"/>
        <v>0.66</v>
      </c>
      <c r="AF36">
        <f t="shared" si="5"/>
        <v>0.27500000000000002</v>
      </c>
      <c r="AG36">
        <f t="shared" si="6"/>
        <v>6.8</v>
      </c>
      <c r="AH36">
        <f t="shared" si="7"/>
        <v>0.3</v>
      </c>
      <c r="AI36">
        <f t="shared" si="8"/>
        <v>0</v>
      </c>
      <c r="AJ36">
        <f>IF( $AV36=FALSE,VLOOKUP(Properties!$B$4, Confidentiality_Requirement,3,FALSE),0)</f>
        <v>1.51</v>
      </c>
      <c r="AK36">
        <f>IF( $AV36=FALSE,VLOOKUP(Properties!$B$5, Integrity_Requirement,3,FALSE),0)</f>
        <v>1.51</v>
      </c>
      <c r="AL36">
        <f>IF( $AV36=FALSE,VLOOKUP(Properties!$B$6, Availability_Requirement,3,FALSE),0)</f>
        <v>1.51</v>
      </c>
      <c r="AM36" s="14">
        <f t="shared" si="9"/>
        <v>7.843935000000001</v>
      </c>
      <c r="AN36" s="14">
        <f t="shared" si="10"/>
        <v>6.4579327999999991</v>
      </c>
      <c r="AO36" s="4">
        <f t="shared" si="11"/>
        <v>1.1759999999999999</v>
      </c>
      <c r="AP36" s="15">
        <f t="shared" si="12"/>
        <v>10</v>
      </c>
      <c r="AQ36" s="15">
        <f t="shared" si="13"/>
        <v>8.3000000000000007</v>
      </c>
      <c r="AR36" s="15">
        <f t="shared" si="14"/>
        <v>8.3000000000000007</v>
      </c>
      <c r="AS36" s="15">
        <f t="shared" si="15"/>
        <v>8.8000000000000007</v>
      </c>
      <c r="AT36">
        <f t="shared" si="16"/>
        <v>8.8000000000000007</v>
      </c>
      <c r="AU36">
        <f t="shared" si="17"/>
        <v>8.8000000000000007</v>
      </c>
      <c r="AV36" t="b">
        <f t="shared" si="18"/>
        <v>0</v>
      </c>
    </row>
    <row r="37" spans="1:48" ht="117" customHeight="1" x14ac:dyDescent="0.25">
      <c r="A37" s="39">
        <v>111</v>
      </c>
      <c r="B37" s="29" t="s">
        <v>350</v>
      </c>
      <c r="C37" s="29" t="s">
        <v>440</v>
      </c>
      <c r="D37" s="29" t="s">
        <v>351</v>
      </c>
      <c r="E37" s="42" t="s">
        <v>45</v>
      </c>
      <c r="F37" s="27" t="s">
        <v>45</v>
      </c>
      <c r="G37" s="27"/>
      <c r="H37" s="27" t="s">
        <v>45</v>
      </c>
      <c r="I37" s="27"/>
      <c r="J37" s="27" t="s">
        <v>45</v>
      </c>
      <c r="K37" s="27"/>
      <c r="L37" s="27" t="s">
        <v>45</v>
      </c>
      <c r="M37" s="27"/>
      <c r="N37" s="27" t="s">
        <v>45</v>
      </c>
      <c r="O37" s="27"/>
      <c r="P37" s="27" t="s">
        <v>45</v>
      </c>
      <c r="Q37" s="27"/>
      <c r="R37" s="31" t="s">
        <v>45</v>
      </c>
      <c r="S37" s="27"/>
      <c r="T37" s="31" t="s">
        <v>15</v>
      </c>
      <c r="U37" s="27"/>
      <c r="V37" s="28" t="str">
        <f>IF($AV37,"INCOMPLETE", IF(AT37&lt;0,0,AT37))</f>
        <v>INCOMPLETE</v>
      </c>
      <c r="W37" s="34"/>
      <c r="X37" s="50" t="s">
        <v>300</v>
      </c>
      <c r="Y37" s="40"/>
      <c r="Z37" s="40"/>
      <c r="AA37">
        <f t="shared" si="0"/>
        <v>0</v>
      </c>
      <c r="AB37">
        <f t="shared" si="1"/>
        <v>0</v>
      </c>
      <c r="AC37">
        <f t="shared" si="2"/>
        <v>0</v>
      </c>
      <c r="AD37">
        <f t="shared" si="3"/>
        <v>0</v>
      </c>
      <c r="AE37">
        <f t="shared" si="4"/>
        <v>0</v>
      </c>
      <c r="AF37">
        <f t="shared" si="5"/>
        <v>0</v>
      </c>
      <c r="AG37">
        <f t="shared" si="6"/>
        <v>0</v>
      </c>
      <c r="AH37">
        <f t="shared" si="7"/>
        <v>0</v>
      </c>
      <c r="AI37">
        <f t="shared" si="8"/>
        <v>0</v>
      </c>
      <c r="AJ37">
        <f>IF( $AV37=FALSE,VLOOKUP(Properties!$B$4, Confidentiality_Requirement,3,FALSE),0)</f>
        <v>0</v>
      </c>
      <c r="AK37">
        <f>IF( $AV37=FALSE,VLOOKUP(Properties!$B$5, Integrity_Requirement,3,FALSE),0)</f>
        <v>0</v>
      </c>
      <c r="AL37">
        <f>IF( $AV37=FALSE,VLOOKUP(Properties!$B$6, Availability_Requirement,3,FALSE),0)</f>
        <v>0</v>
      </c>
      <c r="AM37" s="14">
        <f t="shared" si="9"/>
        <v>0</v>
      </c>
      <c r="AN37" s="14">
        <f t="shared" si="10"/>
        <v>0</v>
      </c>
      <c r="AO37" s="4">
        <f t="shared" si="11"/>
        <v>0</v>
      </c>
      <c r="AP37" s="15">
        <f t="shared" si="12"/>
        <v>0</v>
      </c>
      <c r="AQ37" s="15">
        <f t="shared" si="13"/>
        <v>0</v>
      </c>
      <c r="AR37" s="15">
        <f t="shared" si="14"/>
        <v>0</v>
      </c>
      <c r="AS37" s="15">
        <f t="shared" si="15"/>
        <v>0</v>
      </c>
      <c r="AT37">
        <f t="shared" si="16"/>
        <v>0</v>
      </c>
      <c r="AU37">
        <f t="shared" si="17"/>
        <v>0</v>
      </c>
      <c r="AV37" t="b">
        <f t="shared" si="18"/>
        <v>1</v>
      </c>
    </row>
    <row r="38" spans="1:48" ht="61.95" customHeight="1" x14ac:dyDescent="0.25">
      <c r="A38" s="39">
        <v>112</v>
      </c>
      <c r="B38" s="29" t="s">
        <v>348</v>
      </c>
      <c r="C38" s="29" t="s">
        <v>441</v>
      </c>
      <c r="D38" s="29" t="s">
        <v>349</v>
      </c>
      <c r="E38" s="42" t="s">
        <v>45</v>
      </c>
      <c r="F38" s="27" t="s">
        <v>45</v>
      </c>
      <c r="G38" s="27"/>
      <c r="H38" s="27" t="s">
        <v>45</v>
      </c>
      <c r="I38" s="27"/>
      <c r="J38" s="27" t="s">
        <v>45</v>
      </c>
      <c r="K38" s="27"/>
      <c r="L38" s="27" t="s">
        <v>45</v>
      </c>
      <c r="M38" s="27"/>
      <c r="N38" s="27" t="s">
        <v>45</v>
      </c>
      <c r="O38" s="27"/>
      <c r="P38" s="27" t="s">
        <v>45</v>
      </c>
      <c r="Q38" s="27"/>
      <c r="R38" s="31" t="s">
        <v>45</v>
      </c>
      <c r="S38" s="27"/>
      <c r="T38" s="31" t="s">
        <v>15</v>
      </c>
      <c r="U38" s="27"/>
      <c r="V38" s="28" t="str">
        <f>IF($AV38,"INCOMPLETE", IF(AT38&lt;0,0,AT38))</f>
        <v>INCOMPLETE</v>
      </c>
      <c r="W38" s="34"/>
      <c r="X38" s="50" t="s">
        <v>323</v>
      </c>
      <c r="Y38" s="40"/>
      <c r="Z38" s="40"/>
      <c r="AA38">
        <f t="shared" ref="AA38:AA66" si="19">IF( $AV38 = FALSE,VLOOKUP($F38,Access_Vector,3,FALSE),0)</f>
        <v>0</v>
      </c>
      <c r="AB38">
        <f t="shared" ref="AB38:AB66" si="20">IF( $AV38= FALSE,VLOOKUP($H38,Access_Complexity,3,FALSE),0)</f>
        <v>0</v>
      </c>
      <c r="AC38">
        <f t="shared" ref="AC38:AC66" si="21">IF($AV38=FALSE,VLOOKUP($J38,Authentication,3,FALSE),0)</f>
        <v>0</v>
      </c>
      <c r="AD38">
        <f t="shared" ref="AD38:AD66" si="22">IF( $AV38=FALSE,VLOOKUP($L38,Confidentiality_Impact,3,FALSE),0)</f>
        <v>0</v>
      </c>
      <c r="AE38">
        <f t="shared" ref="AE38:AE66" si="23">IF( $AV38=FALSE,VLOOKUP($N38,Integrity_Impact,3,FALSE),0)</f>
        <v>0</v>
      </c>
      <c r="AF38">
        <f t="shared" ref="AF38:AF66" si="24">IF( $AV38=FALSE,VLOOKUP($P38,Availability_Impact,3,FALSE),0)</f>
        <v>0</v>
      </c>
      <c r="AG38">
        <f t="shared" ref="AG38:AG66" si="25">IF($AV38=FALSE, ROUND(((0.6*$AM38)+(0.4*$AN38)-1.5)*$AO38,1), 0)</f>
        <v>0</v>
      </c>
      <c r="AH38">
        <f t="shared" ref="AH38:AH66" si="26">IF( $AV38=FALSE,VLOOKUP($R38,Collateral_Damage_Potential,3,FALSE),0)</f>
        <v>0</v>
      </c>
      <c r="AI38">
        <f t="shared" ref="AI38:AI66" si="27">IF($AV38=FALSE,VLOOKUP($T38,Awareness,3,FALSE),0)</f>
        <v>0</v>
      </c>
      <c r="AJ38">
        <f>IF( $AV38=FALSE,VLOOKUP(Properties!$B$4, Confidentiality_Requirement,3,FALSE),0)</f>
        <v>0</v>
      </c>
      <c r="AK38">
        <f>IF( $AV38=FALSE,VLOOKUP(Properties!$B$5, Integrity_Requirement,3,FALSE),0)</f>
        <v>0</v>
      </c>
      <c r="AL38">
        <f>IF( $AV38=FALSE,VLOOKUP(Properties!$B$6, Availability_Requirement,3,FALSE),0)</f>
        <v>0</v>
      </c>
      <c r="AM38" s="14">
        <f t="shared" ref="AM38:AM66" si="28">10.41*(1-(1-$AD38)*(1-$AE38)*(1-$AF38))</f>
        <v>0</v>
      </c>
      <c r="AN38" s="14">
        <f t="shared" ref="AN38:AN66" si="29">20*$AB38*$AC38*$AA38</f>
        <v>0</v>
      </c>
      <c r="AO38" s="4">
        <f t="shared" ref="AO38:AO66" si="30">IF(($AM38 &gt; 0), 1.176, 0)</f>
        <v>0</v>
      </c>
      <c r="AP38" s="15">
        <f t="shared" ref="AP38:AP66" si="31">ROUND(MIN(10, 10.41*(1-(1-($AD38*$AJ38))*(1-($AE38*$AK38))*(1-($AF38*$AL38)))),1)</f>
        <v>0</v>
      </c>
      <c r="AQ38" s="15">
        <f t="shared" ref="AQ38:AQ66" si="32">ROUND(($AR38*1*1*1),1)</f>
        <v>0</v>
      </c>
      <c r="AR38" s="15">
        <f t="shared" ref="AR38:AR66" si="33">ROUND((((0.6*$AP38)+(0.4*$AN38)-1.5)*$AO38),1)</f>
        <v>0</v>
      </c>
      <c r="AS38" s="15">
        <f t="shared" ref="AS38:AS66" si="34">ROUND(($AQ38+(10-$AQ38)*$AH38),1)</f>
        <v>0</v>
      </c>
      <c r="AT38">
        <f t="shared" ref="AT38:AT66" si="35">+IF($AU38=0, $AG38, $AU38)</f>
        <v>0</v>
      </c>
      <c r="AU38">
        <f t="shared" ref="AU38:AU66" si="36">ROUND(($AS38-($AS38 * $AI38)),1)</f>
        <v>0</v>
      </c>
      <c r="AV38" t="b">
        <f t="shared" ref="AV38:AV66" si="37">IF(OR(E38="Undefined",F38="Undefined",H38="Undefined",J38="Undefined",L38="Undefined",N38="Undefined",P38="Undefined",R38="Undefined",T38="Undefined"),TRUE, FALSE)</f>
        <v>1</v>
      </c>
    </row>
    <row r="39" spans="1:48" ht="48" customHeight="1" x14ac:dyDescent="0.25">
      <c r="A39" s="39">
        <v>113</v>
      </c>
      <c r="B39" s="29" t="s">
        <v>346</v>
      </c>
      <c r="C39" s="29" t="s">
        <v>442</v>
      </c>
      <c r="D39" s="29" t="s">
        <v>347</v>
      </c>
      <c r="E39" s="42" t="s">
        <v>45</v>
      </c>
      <c r="F39" s="27" t="s">
        <v>45</v>
      </c>
      <c r="G39" s="27"/>
      <c r="H39" s="27" t="s">
        <v>45</v>
      </c>
      <c r="I39" s="27"/>
      <c r="J39" s="27" t="s">
        <v>45</v>
      </c>
      <c r="K39" s="27"/>
      <c r="L39" s="27" t="s">
        <v>45</v>
      </c>
      <c r="M39" s="27"/>
      <c r="N39" s="27" t="s">
        <v>45</v>
      </c>
      <c r="O39" s="27"/>
      <c r="P39" s="27" t="s">
        <v>45</v>
      </c>
      <c r="Q39" s="27"/>
      <c r="R39" s="31" t="s">
        <v>45</v>
      </c>
      <c r="S39" s="27"/>
      <c r="T39" s="31" t="s">
        <v>15</v>
      </c>
      <c r="U39" s="27"/>
      <c r="V39" s="28" t="str">
        <f>IF($AV39,"INCOMPLETE", IF(AT39&lt;0,0,AT39))</f>
        <v>INCOMPLETE</v>
      </c>
      <c r="W39" s="34"/>
      <c r="X39" s="50" t="s">
        <v>318</v>
      </c>
      <c r="Y39" s="40"/>
      <c r="Z39" s="40"/>
      <c r="AA39">
        <f t="shared" si="19"/>
        <v>0</v>
      </c>
      <c r="AB39">
        <f t="shared" si="20"/>
        <v>0</v>
      </c>
      <c r="AC39">
        <f t="shared" si="21"/>
        <v>0</v>
      </c>
      <c r="AD39">
        <f t="shared" si="22"/>
        <v>0</v>
      </c>
      <c r="AE39">
        <f t="shared" si="23"/>
        <v>0</v>
      </c>
      <c r="AF39">
        <f t="shared" si="24"/>
        <v>0</v>
      </c>
      <c r="AG39">
        <f t="shared" si="25"/>
        <v>0</v>
      </c>
      <c r="AH39">
        <f t="shared" si="26"/>
        <v>0</v>
      </c>
      <c r="AI39">
        <f t="shared" si="27"/>
        <v>0</v>
      </c>
      <c r="AJ39">
        <f>IF( $AV39=FALSE,VLOOKUP(Properties!$B$4, Confidentiality_Requirement,3,FALSE),0)</f>
        <v>0</v>
      </c>
      <c r="AK39">
        <f>IF( $AV39=FALSE,VLOOKUP(Properties!$B$5, Integrity_Requirement,3,FALSE),0)</f>
        <v>0</v>
      </c>
      <c r="AL39">
        <f>IF( $AV39=FALSE,VLOOKUP(Properties!$B$6, Availability_Requirement,3,FALSE),0)</f>
        <v>0</v>
      </c>
      <c r="AM39" s="14">
        <f t="shared" si="28"/>
        <v>0</v>
      </c>
      <c r="AN39" s="14">
        <f t="shared" si="29"/>
        <v>0</v>
      </c>
      <c r="AO39" s="4">
        <f t="shared" si="30"/>
        <v>0</v>
      </c>
      <c r="AP39" s="15">
        <f t="shared" si="31"/>
        <v>0</v>
      </c>
      <c r="AQ39" s="15">
        <f t="shared" si="32"/>
        <v>0</v>
      </c>
      <c r="AR39" s="15">
        <f t="shared" si="33"/>
        <v>0</v>
      </c>
      <c r="AS39" s="15">
        <f t="shared" si="34"/>
        <v>0</v>
      </c>
      <c r="AT39">
        <f t="shared" si="35"/>
        <v>0</v>
      </c>
      <c r="AU39">
        <f t="shared" si="36"/>
        <v>0</v>
      </c>
      <c r="AV39" t="b">
        <f t="shared" si="37"/>
        <v>1</v>
      </c>
    </row>
    <row r="40" spans="1:48" ht="115.05" customHeight="1" x14ac:dyDescent="0.25">
      <c r="A40" s="39">
        <v>114</v>
      </c>
      <c r="B40" s="29" t="s">
        <v>271</v>
      </c>
      <c r="C40" s="29" t="s">
        <v>443</v>
      </c>
      <c r="D40" s="29" t="s">
        <v>273</v>
      </c>
      <c r="E40" s="42" t="s">
        <v>45</v>
      </c>
      <c r="F40" s="27" t="s">
        <v>45</v>
      </c>
      <c r="G40" s="27"/>
      <c r="H40" s="27" t="s">
        <v>45</v>
      </c>
      <c r="I40" s="27"/>
      <c r="J40" s="27" t="s">
        <v>45</v>
      </c>
      <c r="K40" s="27"/>
      <c r="L40" s="27" t="s">
        <v>45</v>
      </c>
      <c r="M40" s="27"/>
      <c r="N40" s="27" t="s">
        <v>45</v>
      </c>
      <c r="O40" s="27"/>
      <c r="P40" s="27" t="s">
        <v>45</v>
      </c>
      <c r="Q40" s="27"/>
      <c r="R40" s="31" t="s">
        <v>45</v>
      </c>
      <c r="S40" s="27"/>
      <c r="T40" s="31" t="s">
        <v>15</v>
      </c>
      <c r="U40" s="27"/>
      <c r="V40" s="28" t="str">
        <f>IF($AV40,"INCOMPLETE", IF(AT40&lt;0,0,AT40))</f>
        <v>INCOMPLETE</v>
      </c>
      <c r="W40" s="34"/>
      <c r="X40" s="50" t="s">
        <v>274</v>
      </c>
      <c r="Y40" s="40"/>
      <c r="Z40" s="40"/>
      <c r="AA40">
        <f t="shared" si="19"/>
        <v>0</v>
      </c>
      <c r="AB40">
        <f t="shared" si="20"/>
        <v>0</v>
      </c>
      <c r="AC40">
        <f t="shared" si="21"/>
        <v>0</v>
      </c>
      <c r="AD40">
        <f t="shared" si="22"/>
        <v>0</v>
      </c>
      <c r="AE40">
        <f t="shared" si="23"/>
        <v>0</v>
      </c>
      <c r="AF40">
        <f t="shared" si="24"/>
        <v>0</v>
      </c>
      <c r="AG40">
        <f t="shared" si="25"/>
        <v>0</v>
      </c>
      <c r="AH40">
        <f t="shared" si="26"/>
        <v>0</v>
      </c>
      <c r="AI40">
        <f t="shared" si="27"/>
        <v>0</v>
      </c>
      <c r="AJ40">
        <f>IF( $AV40=FALSE,VLOOKUP(Properties!$B$4, Confidentiality_Requirement,3,FALSE),0)</f>
        <v>0</v>
      </c>
      <c r="AK40">
        <f>IF( $AV40=FALSE,VLOOKUP(Properties!$B$5, Integrity_Requirement,3,FALSE),0)</f>
        <v>0</v>
      </c>
      <c r="AL40">
        <f>IF( $AV40=FALSE,VLOOKUP(Properties!$B$6, Availability_Requirement,3,FALSE),0)</f>
        <v>0</v>
      </c>
      <c r="AM40" s="14">
        <f t="shared" si="28"/>
        <v>0</v>
      </c>
      <c r="AN40" s="14">
        <f t="shared" si="29"/>
        <v>0</v>
      </c>
      <c r="AO40" s="4">
        <f t="shared" si="30"/>
        <v>0</v>
      </c>
      <c r="AP40" s="15">
        <f t="shared" si="31"/>
        <v>0</v>
      </c>
      <c r="AQ40" s="15">
        <f t="shared" si="32"/>
        <v>0</v>
      </c>
      <c r="AR40" s="15">
        <f t="shared" si="33"/>
        <v>0</v>
      </c>
      <c r="AS40" s="15">
        <f t="shared" si="34"/>
        <v>0</v>
      </c>
      <c r="AT40">
        <f t="shared" si="35"/>
        <v>0</v>
      </c>
      <c r="AU40">
        <f t="shared" si="36"/>
        <v>0</v>
      </c>
      <c r="AV40" t="b">
        <f t="shared" si="37"/>
        <v>1</v>
      </c>
    </row>
    <row r="41" spans="1:48" ht="138.6" customHeight="1" x14ac:dyDescent="0.25">
      <c r="A41" s="39">
        <v>115</v>
      </c>
      <c r="B41" s="29" t="s">
        <v>277</v>
      </c>
      <c r="C41" s="29" t="s">
        <v>443</v>
      </c>
      <c r="D41" s="29" t="s">
        <v>278</v>
      </c>
      <c r="E41" s="42" t="s">
        <v>45</v>
      </c>
      <c r="F41" s="27" t="s">
        <v>45</v>
      </c>
      <c r="G41" s="27"/>
      <c r="H41" s="27" t="s">
        <v>45</v>
      </c>
      <c r="I41" s="27"/>
      <c r="J41" s="27" t="s">
        <v>45</v>
      </c>
      <c r="K41" s="27"/>
      <c r="L41" s="27" t="s">
        <v>45</v>
      </c>
      <c r="M41" s="27"/>
      <c r="N41" s="27" t="s">
        <v>45</v>
      </c>
      <c r="O41" s="27"/>
      <c r="P41" s="27" t="s">
        <v>45</v>
      </c>
      <c r="Q41" s="27"/>
      <c r="R41" s="31" t="s">
        <v>45</v>
      </c>
      <c r="S41" s="27"/>
      <c r="T41" s="31" t="s">
        <v>15</v>
      </c>
      <c r="U41" s="27"/>
      <c r="V41" s="28" t="str">
        <f>IF($AV41,"INCOMPLETE", IF(AT41&lt;0,0,AT41))</f>
        <v>INCOMPLETE</v>
      </c>
      <c r="W41" s="34"/>
      <c r="X41" s="50" t="s">
        <v>279</v>
      </c>
      <c r="Y41" s="40"/>
      <c r="Z41" s="40"/>
      <c r="AA41">
        <f t="shared" si="19"/>
        <v>0</v>
      </c>
      <c r="AB41">
        <f t="shared" si="20"/>
        <v>0</v>
      </c>
      <c r="AC41">
        <f t="shared" si="21"/>
        <v>0</v>
      </c>
      <c r="AD41">
        <f t="shared" si="22"/>
        <v>0</v>
      </c>
      <c r="AE41">
        <f t="shared" si="23"/>
        <v>0</v>
      </c>
      <c r="AF41">
        <f t="shared" si="24"/>
        <v>0</v>
      </c>
      <c r="AG41">
        <f t="shared" si="25"/>
        <v>0</v>
      </c>
      <c r="AH41">
        <f t="shared" si="26"/>
        <v>0</v>
      </c>
      <c r="AI41">
        <f t="shared" si="27"/>
        <v>0</v>
      </c>
      <c r="AJ41">
        <f>IF( $AV41=FALSE,VLOOKUP(Properties!$B$4, Confidentiality_Requirement,3,FALSE),0)</f>
        <v>0</v>
      </c>
      <c r="AK41">
        <f>IF( $AV41=FALSE,VLOOKUP(Properties!$B$5, Integrity_Requirement,3,FALSE),0)</f>
        <v>0</v>
      </c>
      <c r="AL41">
        <f>IF( $AV41=FALSE,VLOOKUP(Properties!$B$6, Availability_Requirement,3,FALSE),0)</f>
        <v>0</v>
      </c>
      <c r="AM41" s="14">
        <f t="shared" si="28"/>
        <v>0</v>
      </c>
      <c r="AN41" s="14">
        <f t="shared" si="29"/>
        <v>0</v>
      </c>
      <c r="AO41" s="4">
        <f t="shared" si="30"/>
        <v>0</v>
      </c>
      <c r="AP41" s="15">
        <f t="shared" si="31"/>
        <v>0</v>
      </c>
      <c r="AQ41" s="15">
        <f t="shared" si="32"/>
        <v>0</v>
      </c>
      <c r="AR41" s="15">
        <f t="shared" si="33"/>
        <v>0</v>
      </c>
      <c r="AS41" s="15">
        <f t="shared" si="34"/>
        <v>0</v>
      </c>
      <c r="AT41">
        <f t="shared" si="35"/>
        <v>0</v>
      </c>
      <c r="AU41">
        <f t="shared" si="36"/>
        <v>0</v>
      </c>
      <c r="AV41" t="b">
        <f t="shared" si="37"/>
        <v>1</v>
      </c>
    </row>
    <row r="42" spans="1:48" ht="76.05" customHeight="1" x14ac:dyDescent="0.25">
      <c r="A42" s="39">
        <v>116</v>
      </c>
      <c r="B42" s="29" t="s">
        <v>343</v>
      </c>
      <c r="C42" s="29" t="s">
        <v>444</v>
      </c>
      <c r="D42" s="29" t="s">
        <v>344</v>
      </c>
      <c r="E42" s="42" t="s">
        <v>45</v>
      </c>
      <c r="F42" s="27" t="s">
        <v>45</v>
      </c>
      <c r="G42" s="27"/>
      <c r="H42" s="27" t="s">
        <v>45</v>
      </c>
      <c r="I42" s="27"/>
      <c r="J42" s="27" t="s">
        <v>45</v>
      </c>
      <c r="K42" s="27"/>
      <c r="L42" s="27" t="s">
        <v>45</v>
      </c>
      <c r="M42" s="27"/>
      <c r="N42" s="27" t="s">
        <v>45</v>
      </c>
      <c r="O42" s="27"/>
      <c r="P42" s="27" t="s">
        <v>45</v>
      </c>
      <c r="Q42" s="27"/>
      <c r="R42" s="31" t="s">
        <v>45</v>
      </c>
      <c r="S42" s="27"/>
      <c r="T42" s="31" t="s">
        <v>15</v>
      </c>
      <c r="U42" s="27"/>
      <c r="V42" s="28" t="str">
        <f>IF($AV42,"INCOMPLETE", IF(AT42&lt;0,0,AT42))</f>
        <v>INCOMPLETE</v>
      </c>
      <c r="W42" s="34"/>
      <c r="X42" s="50" t="s">
        <v>330</v>
      </c>
      <c r="Y42" s="40"/>
      <c r="Z42" s="40"/>
      <c r="AA42">
        <f t="shared" si="19"/>
        <v>0</v>
      </c>
      <c r="AB42">
        <f t="shared" si="20"/>
        <v>0</v>
      </c>
      <c r="AC42">
        <f t="shared" si="21"/>
        <v>0</v>
      </c>
      <c r="AD42">
        <f t="shared" si="22"/>
        <v>0</v>
      </c>
      <c r="AE42">
        <f t="shared" si="23"/>
        <v>0</v>
      </c>
      <c r="AF42">
        <f t="shared" si="24"/>
        <v>0</v>
      </c>
      <c r="AG42">
        <f t="shared" si="25"/>
        <v>0</v>
      </c>
      <c r="AH42">
        <f t="shared" si="26"/>
        <v>0</v>
      </c>
      <c r="AI42">
        <f t="shared" si="27"/>
        <v>0</v>
      </c>
      <c r="AJ42">
        <f>IF( $AV42=FALSE,VLOOKUP(Properties!$B$4, Confidentiality_Requirement,3,FALSE),0)</f>
        <v>0</v>
      </c>
      <c r="AK42">
        <f>IF( $AV42=FALSE,VLOOKUP(Properties!$B$5, Integrity_Requirement,3,FALSE),0)</f>
        <v>0</v>
      </c>
      <c r="AL42">
        <f>IF( $AV42=FALSE,VLOOKUP(Properties!$B$6, Availability_Requirement,3,FALSE),0)</f>
        <v>0</v>
      </c>
      <c r="AM42" s="14">
        <f t="shared" si="28"/>
        <v>0</v>
      </c>
      <c r="AN42" s="14">
        <f t="shared" si="29"/>
        <v>0</v>
      </c>
      <c r="AO42" s="4">
        <f t="shared" si="30"/>
        <v>0</v>
      </c>
      <c r="AP42" s="15">
        <f t="shared" si="31"/>
        <v>0</v>
      </c>
      <c r="AQ42" s="15">
        <f t="shared" si="32"/>
        <v>0</v>
      </c>
      <c r="AR42" s="15">
        <f t="shared" si="33"/>
        <v>0</v>
      </c>
      <c r="AS42" s="15">
        <f t="shared" si="34"/>
        <v>0</v>
      </c>
      <c r="AT42">
        <f t="shared" si="35"/>
        <v>0</v>
      </c>
      <c r="AU42">
        <f t="shared" si="36"/>
        <v>0</v>
      </c>
      <c r="AV42" t="b">
        <f t="shared" si="37"/>
        <v>1</v>
      </c>
    </row>
    <row r="43" spans="1:48" ht="119.4" customHeight="1" x14ac:dyDescent="0.25">
      <c r="A43" s="39">
        <v>117</v>
      </c>
      <c r="B43" s="29" t="s">
        <v>341</v>
      </c>
      <c r="C43" s="29" t="s">
        <v>445</v>
      </c>
      <c r="D43" s="29" t="s">
        <v>342</v>
      </c>
      <c r="E43" s="42" t="s">
        <v>45</v>
      </c>
      <c r="F43" s="27" t="s">
        <v>45</v>
      </c>
      <c r="G43" s="27"/>
      <c r="H43" s="27" t="s">
        <v>45</v>
      </c>
      <c r="I43" s="27"/>
      <c r="J43" s="27" t="s">
        <v>45</v>
      </c>
      <c r="K43" s="27"/>
      <c r="L43" s="27" t="s">
        <v>45</v>
      </c>
      <c r="M43" s="27"/>
      <c r="N43" s="27" t="s">
        <v>45</v>
      </c>
      <c r="O43" s="27"/>
      <c r="P43" s="27" t="s">
        <v>45</v>
      </c>
      <c r="Q43" s="27"/>
      <c r="R43" s="31" t="s">
        <v>45</v>
      </c>
      <c r="S43" s="27"/>
      <c r="T43" s="31" t="s">
        <v>15</v>
      </c>
      <c r="U43" s="27"/>
      <c r="V43" s="28" t="str">
        <f>IF($AV43,"INCOMPLETE", IF(AT43&lt;0,0,AT43))</f>
        <v>INCOMPLETE</v>
      </c>
      <c r="W43" s="34"/>
      <c r="X43" s="50" t="s">
        <v>300</v>
      </c>
      <c r="Y43" s="40"/>
      <c r="Z43" s="40"/>
      <c r="AA43">
        <f t="shared" si="19"/>
        <v>0</v>
      </c>
      <c r="AB43">
        <f t="shared" si="20"/>
        <v>0</v>
      </c>
      <c r="AC43">
        <f t="shared" si="21"/>
        <v>0</v>
      </c>
      <c r="AD43">
        <f t="shared" si="22"/>
        <v>0</v>
      </c>
      <c r="AE43">
        <f t="shared" si="23"/>
        <v>0</v>
      </c>
      <c r="AF43">
        <f t="shared" si="24"/>
        <v>0</v>
      </c>
      <c r="AG43">
        <f t="shared" si="25"/>
        <v>0</v>
      </c>
      <c r="AH43">
        <f t="shared" si="26"/>
        <v>0</v>
      </c>
      <c r="AI43">
        <f t="shared" si="27"/>
        <v>0</v>
      </c>
      <c r="AJ43">
        <f>IF( $AV43=FALSE,VLOOKUP(Properties!$B$4, Confidentiality_Requirement,3,FALSE),0)</f>
        <v>0</v>
      </c>
      <c r="AK43">
        <f>IF( $AV43=FALSE,VLOOKUP(Properties!$B$5, Integrity_Requirement,3,FALSE),0)</f>
        <v>0</v>
      </c>
      <c r="AL43">
        <f>IF( $AV43=FALSE,VLOOKUP(Properties!$B$6, Availability_Requirement,3,FALSE),0)</f>
        <v>0</v>
      </c>
      <c r="AM43" s="14">
        <f t="shared" si="28"/>
        <v>0</v>
      </c>
      <c r="AN43" s="14">
        <f t="shared" si="29"/>
        <v>0</v>
      </c>
      <c r="AO43" s="4">
        <f t="shared" si="30"/>
        <v>0</v>
      </c>
      <c r="AP43" s="15">
        <f t="shared" si="31"/>
        <v>0</v>
      </c>
      <c r="AQ43" s="15">
        <f t="shared" si="32"/>
        <v>0</v>
      </c>
      <c r="AR43" s="15">
        <f t="shared" si="33"/>
        <v>0</v>
      </c>
      <c r="AS43" s="15">
        <f t="shared" si="34"/>
        <v>0</v>
      </c>
      <c r="AT43">
        <f t="shared" si="35"/>
        <v>0</v>
      </c>
      <c r="AU43">
        <f t="shared" si="36"/>
        <v>0</v>
      </c>
      <c r="AV43" t="b">
        <f t="shared" si="37"/>
        <v>1</v>
      </c>
    </row>
    <row r="44" spans="1:48" ht="61.95" customHeight="1" x14ac:dyDescent="0.25">
      <c r="A44" s="57">
        <v>118</v>
      </c>
      <c r="B44" s="29" t="s">
        <v>339</v>
      </c>
      <c r="C44" s="29" t="s">
        <v>446</v>
      </c>
      <c r="D44" s="29" t="s">
        <v>340</v>
      </c>
      <c r="E44" s="42" t="s">
        <v>32</v>
      </c>
      <c r="F44" s="27" t="s">
        <v>12</v>
      </c>
      <c r="G44" s="27"/>
      <c r="H44" s="27" t="s">
        <v>2</v>
      </c>
      <c r="I44" s="27"/>
      <c r="J44" s="27" t="s">
        <v>15</v>
      </c>
      <c r="K44" s="27"/>
      <c r="L44" s="27" t="s">
        <v>17</v>
      </c>
      <c r="M44" s="27"/>
      <c r="N44" s="27" t="s">
        <v>15</v>
      </c>
      <c r="O44" s="27"/>
      <c r="P44" s="27" t="s">
        <v>15</v>
      </c>
      <c r="Q44" s="27"/>
      <c r="R44" s="31" t="s">
        <v>63</v>
      </c>
      <c r="S44" s="27"/>
      <c r="T44" s="31" t="s">
        <v>15</v>
      </c>
      <c r="U44" s="27"/>
      <c r="V44" s="28">
        <f>IF($AV44,"INCOMPLETE", IF(AT44&lt;0,0,AT44))</f>
        <v>7.3</v>
      </c>
      <c r="W44" s="34" t="s">
        <v>477</v>
      </c>
      <c r="X44" s="50" t="s">
        <v>323</v>
      </c>
      <c r="Y44" s="40"/>
      <c r="Z44" s="40"/>
      <c r="AA44">
        <f t="shared" si="19"/>
        <v>0.39500000000000002</v>
      </c>
      <c r="AB44">
        <f t="shared" si="20"/>
        <v>0.35</v>
      </c>
      <c r="AC44">
        <f t="shared" si="21"/>
        <v>0.70399999999999996</v>
      </c>
      <c r="AD44">
        <f t="shared" si="22"/>
        <v>0.66</v>
      </c>
      <c r="AE44">
        <f t="shared" si="23"/>
        <v>0</v>
      </c>
      <c r="AF44">
        <f t="shared" si="24"/>
        <v>0</v>
      </c>
      <c r="AG44">
        <f t="shared" si="25"/>
        <v>4</v>
      </c>
      <c r="AH44">
        <f t="shared" si="26"/>
        <v>0.3</v>
      </c>
      <c r="AI44">
        <f t="shared" si="27"/>
        <v>0</v>
      </c>
      <c r="AJ44">
        <f>IF( $AV44=FALSE,VLOOKUP(Properties!$B$4, Confidentiality_Requirement,3,FALSE),0)</f>
        <v>1.51</v>
      </c>
      <c r="AK44">
        <f>IF( $AV44=FALSE,VLOOKUP(Properties!$B$5, Integrity_Requirement,3,FALSE),0)</f>
        <v>1.51</v>
      </c>
      <c r="AL44">
        <f>IF( $AV44=FALSE,VLOOKUP(Properties!$B$6, Availability_Requirement,3,FALSE),0)</f>
        <v>1.51</v>
      </c>
      <c r="AM44" s="14">
        <f t="shared" si="28"/>
        <v>6.8706000000000005</v>
      </c>
      <c r="AN44" s="14">
        <f t="shared" si="29"/>
        <v>1.9465600000000001</v>
      </c>
      <c r="AO44" s="4">
        <f t="shared" si="30"/>
        <v>1.1759999999999999</v>
      </c>
      <c r="AP44" s="15">
        <f t="shared" si="31"/>
        <v>10</v>
      </c>
      <c r="AQ44" s="15">
        <f t="shared" si="32"/>
        <v>6.2</v>
      </c>
      <c r="AR44" s="15">
        <f t="shared" si="33"/>
        <v>6.2</v>
      </c>
      <c r="AS44" s="15">
        <f t="shared" si="34"/>
        <v>7.3</v>
      </c>
      <c r="AT44">
        <f t="shared" si="35"/>
        <v>7.3</v>
      </c>
      <c r="AU44">
        <f t="shared" si="36"/>
        <v>7.3</v>
      </c>
      <c r="AV44" t="b">
        <f t="shared" si="37"/>
        <v>0</v>
      </c>
    </row>
    <row r="45" spans="1:48" ht="161.4" customHeight="1" x14ac:dyDescent="0.25">
      <c r="A45" s="39">
        <v>119</v>
      </c>
      <c r="B45" s="29" t="s">
        <v>337</v>
      </c>
      <c r="C45" s="29" t="s">
        <v>447</v>
      </c>
      <c r="D45" s="29" t="s">
        <v>338</v>
      </c>
      <c r="E45" s="42" t="s">
        <v>45</v>
      </c>
      <c r="F45" s="27" t="s">
        <v>45</v>
      </c>
      <c r="G45" s="27"/>
      <c r="H45" s="27" t="s">
        <v>45</v>
      </c>
      <c r="I45" s="27"/>
      <c r="J45" s="27" t="s">
        <v>45</v>
      </c>
      <c r="K45" s="27"/>
      <c r="L45" s="27" t="s">
        <v>45</v>
      </c>
      <c r="M45" s="27"/>
      <c r="N45" s="27" t="s">
        <v>45</v>
      </c>
      <c r="O45" s="27"/>
      <c r="P45" s="27" t="s">
        <v>45</v>
      </c>
      <c r="Q45" s="27"/>
      <c r="R45" s="31" t="s">
        <v>45</v>
      </c>
      <c r="S45" s="27"/>
      <c r="T45" s="31" t="s">
        <v>15</v>
      </c>
      <c r="U45" s="27"/>
      <c r="V45" s="28" t="str">
        <f>IF($AV45,"INCOMPLETE", IF(AT45&lt;0,0,AT45))</f>
        <v>INCOMPLETE</v>
      </c>
      <c r="W45" s="34"/>
      <c r="X45" s="50" t="s">
        <v>268</v>
      </c>
      <c r="Y45" s="40"/>
      <c r="Z45" s="40"/>
      <c r="AA45">
        <f t="shared" si="19"/>
        <v>0</v>
      </c>
      <c r="AB45">
        <f t="shared" si="20"/>
        <v>0</v>
      </c>
      <c r="AC45">
        <f t="shared" si="21"/>
        <v>0</v>
      </c>
      <c r="AD45">
        <f t="shared" si="22"/>
        <v>0</v>
      </c>
      <c r="AE45">
        <f t="shared" si="23"/>
        <v>0</v>
      </c>
      <c r="AF45">
        <f t="shared" si="24"/>
        <v>0</v>
      </c>
      <c r="AG45">
        <f t="shared" si="25"/>
        <v>0</v>
      </c>
      <c r="AH45">
        <f t="shared" si="26"/>
        <v>0</v>
      </c>
      <c r="AI45">
        <f t="shared" si="27"/>
        <v>0</v>
      </c>
      <c r="AJ45">
        <f>IF( $AV45=FALSE,VLOOKUP(Properties!$B$4, Confidentiality_Requirement,3,FALSE),0)</f>
        <v>0</v>
      </c>
      <c r="AK45">
        <f>IF( $AV45=FALSE,VLOOKUP(Properties!$B$5, Integrity_Requirement,3,FALSE),0)</f>
        <v>0</v>
      </c>
      <c r="AL45">
        <f>IF( $AV45=FALSE,VLOOKUP(Properties!$B$6, Availability_Requirement,3,FALSE),0)</f>
        <v>0</v>
      </c>
      <c r="AM45" s="14">
        <f t="shared" si="28"/>
        <v>0</v>
      </c>
      <c r="AN45" s="14">
        <f t="shared" si="29"/>
        <v>0</v>
      </c>
      <c r="AO45" s="4">
        <f t="shared" si="30"/>
        <v>0</v>
      </c>
      <c r="AP45" s="15">
        <f t="shared" si="31"/>
        <v>0</v>
      </c>
      <c r="AQ45" s="15">
        <f t="shared" si="32"/>
        <v>0</v>
      </c>
      <c r="AR45" s="15">
        <f t="shared" si="33"/>
        <v>0</v>
      </c>
      <c r="AS45" s="15">
        <f t="shared" si="34"/>
        <v>0</v>
      </c>
      <c r="AT45">
        <f t="shared" si="35"/>
        <v>0</v>
      </c>
      <c r="AU45">
        <f t="shared" si="36"/>
        <v>0</v>
      </c>
      <c r="AV45" t="b">
        <f t="shared" si="37"/>
        <v>1</v>
      </c>
    </row>
    <row r="46" spans="1:48" ht="48" customHeight="1" x14ac:dyDescent="0.25">
      <c r="A46" s="39">
        <v>120</v>
      </c>
      <c r="B46" s="29" t="s">
        <v>335</v>
      </c>
      <c r="C46" s="29" t="s">
        <v>447</v>
      </c>
      <c r="D46" s="29" t="s">
        <v>336</v>
      </c>
      <c r="E46" s="42" t="s">
        <v>45</v>
      </c>
      <c r="F46" s="27" t="s">
        <v>45</v>
      </c>
      <c r="G46" s="27"/>
      <c r="H46" s="27" t="s">
        <v>45</v>
      </c>
      <c r="I46" s="27"/>
      <c r="J46" s="27" t="s">
        <v>45</v>
      </c>
      <c r="K46" s="27"/>
      <c r="L46" s="27" t="s">
        <v>45</v>
      </c>
      <c r="M46" s="27"/>
      <c r="N46" s="27" t="s">
        <v>45</v>
      </c>
      <c r="O46" s="27"/>
      <c r="P46" s="27" t="s">
        <v>45</v>
      </c>
      <c r="Q46" s="27"/>
      <c r="R46" s="31" t="s">
        <v>45</v>
      </c>
      <c r="S46" s="27"/>
      <c r="T46" s="31" t="s">
        <v>15</v>
      </c>
      <c r="U46" s="27"/>
      <c r="V46" s="28" t="str">
        <f>IF($AV46,"INCOMPLETE", IF(AT46&lt;0,0,AT46))</f>
        <v>INCOMPLETE</v>
      </c>
      <c r="W46" s="34"/>
      <c r="X46" s="50" t="s">
        <v>318</v>
      </c>
      <c r="Y46" s="40"/>
      <c r="Z46" s="40"/>
      <c r="AA46">
        <f t="shared" si="19"/>
        <v>0</v>
      </c>
      <c r="AB46">
        <f t="shared" si="20"/>
        <v>0</v>
      </c>
      <c r="AC46">
        <f t="shared" si="21"/>
        <v>0</v>
      </c>
      <c r="AD46">
        <f t="shared" si="22"/>
        <v>0</v>
      </c>
      <c r="AE46">
        <f t="shared" si="23"/>
        <v>0</v>
      </c>
      <c r="AF46">
        <f t="shared" si="24"/>
        <v>0</v>
      </c>
      <c r="AG46">
        <f t="shared" si="25"/>
        <v>0</v>
      </c>
      <c r="AH46">
        <f t="shared" si="26"/>
        <v>0</v>
      </c>
      <c r="AI46">
        <f t="shared" si="27"/>
        <v>0</v>
      </c>
      <c r="AJ46">
        <f>IF( $AV46=FALSE,VLOOKUP(Properties!$B$4, Confidentiality_Requirement,3,FALSE),0)</f>
        <v>0</v>
      </c>
      <c r="AK46">
        <f>IF( $AV46=FALSE,VLOOKUP(Properties!$B$5, Integrity_Requirement,3,FALSE),0)</f>
        <v>0</v>
      </c>
      <c r="AL46">
        <f>IF( $AV46=FALSE,VLOOKUP(Properties!$B$6, Availability_Requirement,3,FALSE),0)</f>
        <v>0</v>
      </c>
      <c r="AM46" s="14">
        <f t="shared" si="28"/>
        <v>0</v>
      </c>
      <c r="AN46" s="14">
        <f t="shared" si="29"/>
        <v>0</v>
      </c>
      <c r="AO46" s="4">
        <f t="shared" si="30"/>
        <v>0</v>
      </c>
      <c r="AP46" s="15">
        <f t="shared" si="31"/>
        <v>0</v>
      </c>
      <c r="AQ46" s="15">
        <f t="shared" si="32"/>
        <v>0</v>
      </c>
      <c r="AR46" s="15">
        <f t="shared" si="33"/>
        <v>0</v>
      </c>
      <c r="AS46" s="15">
        <f t="shared" si="34"/>
        <v>0</v>
      </c>
      <c r="AT46">
        <f t="shared" si="35"/>
        <v>0</v>
      </c>
      <c r="AU46">
        <f t="shared" si="36"/>
        <v>0</v>
      </c>
      <c r="AV46" t="b">
        <f t="shared" si="37"/>
        <v>1</v>
      </c>
    </row>
    <row r="47" spans="1:48" ht="115.05" customHeight="1" x14ac:dyDescent="0.25">
      <c r="A47" s="39">
        <v>121</v>
      </c>
      <c r="B47" s="29" t="s">
        <v>271</v>
      </c>
      <c r="C47" s="29" t="s">
        <v>448</v>
      </c>
      <c r="D47" s="29" t="s">
        <v>334</v>
      </c>
      <c r="E47" s="42" t="s">
        <v>45</v>
      </c>
      <c r="F47" s="27" t="s">
        <v>45</v>
      </c>
      <c r="G47" s="27"/>
      <c r="H47" s="27" t="s">
        <v>45</v>
      </c>
      <c r="I47" s="27"/>
      <c r="J47" s="27" t="s">
        <v>45</v>
      </c>
      <c r="K47" s="27"/>
      <c r="L47" s="27" t="s">
        <v>45</v>
      </c>
      <c r="M47" s="27"/>
      <c r="N47" s="27" t="s">
        <v>45</v>
      </c>
      <c r="O47" s="27"/>
      <c r="P47" s="27" t="s">
        <v>45</v>
      </c>
      <c r="Q47" s="27"/>
      <c r="R47" s="31" t="s">
        <v>45</v>
      </c>
      <c r="S47" s="27"/>
      <c r="T47" s="31" t="s">
        <v>15</v>
      </c>
      <c r="U47" s="27"/>
      <c r="V47" s="28" t="str">
        <f>IF($AV47,"INCOMPLETE", IF(AT47&lt;0,0,AT47))</f>
        <v>INCOMPLETE</v>
      </c>
      <c r="W47" s="34"/>
      <c r="X47" s="50" t="s">
        <v>274</v>
      </c>
      <c r="Y47" s="40"/>
      <c r="Z47" s="40"/>
      <c r="AA47">
        <f t="shared" si="19"/>
        <v>0</v>
      </c>
      <c r="AB47">
        <f t="shared" si="20"/>
        <v>0</v>
      </c>
      <c r="AC47">
        <f t="shared" si="21"/>
        <v>0</v>
      </c>
      <c r="AD47">
        <f t="shared" si="22"/>
        <v>0</v>
      </c>
      <c r="AE47">
        <f t="shared" si="23"/>
        <v>0</v>
      </c>
      <c r="AF47">
        <f t="shared" si="24"/>
        <v>0</v>
      </c>
      <c r="AG47">
        <f t="shared" si="25"/>
        <v>0</v>
      </c>
      <c r="AH47">
        <f t="shared" si="26"/>
        <v>0</v>
      </c>
      <c r="AI47">
        <f t="shared" si="27"/>
        <v>0</v>
      </c>
      <c r="AJ47">
        <f>IF( $AV47=FALSE,VLOOKUP(Properties!$B$4, Confidentiality_Requirement,3,FALSE),0)</f>
        <v>0</v>
      </c>
      <c r="AK47">
        <f>IF( $AV47=FALSE,VLOOKUP(Properties!$B$5, Integrity_Requirement,3,FALSE),0)</f>
        <v>0</v>
      </c>
      <c r="AL47">
        <f>IF( $AV47=FALSE,VLOOKUP(Properties!$B$6, Availability_Requirement,3,FALSE),0)</f>
        <v>0</v>
      </c>
      <c r="AM47" s="14">
        <f t="shared" si="28"/>
        <v>0</v>
      </c>
      <c r="AN47" s="14">
        <f t="shared" si="29"/>
        <v>0</v>
      </c>
      <c r="AO47" s="4">
        <f t="shared" si="30"/>
        <v>0</v>
      </c>
      <c r="AP47" s="15">
        <f t="shared" si="31"/>
        <v>0</v>
      </c>
      <c r="AQ47" s="15">
        <f t="shared" si="32"/>
        <v>0</v>
      </c>
      <c r="AR47" s="15">
        <f t="shared" si="33"/>
        <v>0</v>
      </c>
      <c r="AS47" s="15">
        <f t="shared" si="34"/>
        <v>0</v>
      </c>
      <c r="AT47">
        <f t="shared" si="35"/>
        <v>0</v>
      </c>
      <c r="AU47">
        <f t="shared" si="36"/>
        <v>0</v>
      </c>
      <c r="AV47" t="b">
        <f t="shared" si="37"/>
        <v>1</v>
      </c>
    </row>
    <row r="48" spans="1:48" ht="196.8" customHeight="1" x14ac:dyDescent="0.25">
      <c r="A48" s="39">
        <v>122</v>
      </c>
      <c r="B48" s="29" t="s">
        <v>277</v>
      </c>
      <c r="C48" s="29" t="s">
        <v>448</v>
      </c>
      <c r="D48" s="29" t="s">
        <v>278</v>
      </c>
      <c r="E48" s="42" t="s">
        <v>45</v>
      </c>
      <c r="F48" s="27" t="s">
        <v>45</v>
      </c>
      <c r="G48" s="27"/>
      <c r="H48" s="27" t="s">
        <v>45</v>
      </c>
      <c r="I48" s="27"/>
      <c r="J48" s="27" t="s">
        <v>45</v>
      </c>
      <c r="K48" s="27"/>
      <c r="L48" s="27" t="s">
        <v>45</v>
      </c>
      <c r="M48" s="27"/>
      <c r="N48" s="27" t="s">
        <v>45</v>
      </c>
      <c r="O48" s="27"/>
      <c r="P48" s="27" t="s">
        <v>45</v>
      </c>
      <c r="Q48" s="27"/>
      <c r="R48" s="31" t="s">
        <v>45</v>
      </c>
      <c r="S48" s="27"/>
      <c r="T48" s="31" t="s">
        <v>15</v>
      </c>
      <c r="U48" s="27"/>
      <c r="V48" s="28" t="str">
        <f>IF($AV48,"INCOMPLETE", IF(AT48&lt;0,0,AT48))</f>
        <v>INCOMPLETE</v>
      </c>
      <c r="W48" s="34"/>
      <c r="X48" s="50" t="s">
        <v>279</v>
      </c>
      <c r="Y48" s="40"/>
      <c r="Z48" s="40"/>
      <c r="AA48">
        <f t="shared" si="19"/>
        <v>0</v>
      </c>
      <c r="AB48">
        <f t="shared" si="20"/>
        <v>0</v>
      </c>
      <c r="AC48">
        <f t="shared" si="21"/>
        <v>0</v>
      </c>
      <c r="AD48">
        <f t="shared" si="22"/>
        <v>0</v>
      </c>
      <c r="AE48">
        <f t="shared" si="23"/>
        <v>0</v>
      </c>
      <c r="AF48">
        <f t="shared" si="24"/>
        <v>0</v>
      </c>
      <c r="AG48">
        <f t="shared" si="25"/>
        <v>0</v>
      </c>
      <c r="AH48">
        <f t="shared" si="26"/>
        <v>0</v>
      </c>
      <c r="AI48">
        <f t="shared" si="27"/>
        <v>0</v>
      </c>
      <c r="AJ48">
        <f>IF( $AV48=FALSE,VLOOKUP(Properties!$B$4, Confidentiality_Requirement,3,FALSE),0)</f>
        <v>0</v>
      </c>
      <c r="AK48">
        <f>IF( $AV48=FALSE,VLOOKUP(Properties!$B$5, Integrity_Requirement,3,FALSE),0)</f>
        <v>0</v>
      </c>
      <c r="AL48">
        <f>IF( $AV48=FALSE,VLOOKUP(Properties!$B$6, Availability_Requirement,3,FALSE),0)</f>
        <v>0</v>
      </c>
      <c r="AM48" s="14">
        <f t="shared" si="28"/>
        <v>0</v>
      </c>
      <c r="AN48" s="14">
        <f t="shared" si="29"/>
        <v>0</v>
      </c>
      <c r="AO48" s="4">
        <f t="shared" si="30"/>
        <v>0</v>
      </c>
      <c r="AP48" s="15">
        <f t="shared" si="31"/>
        <v>0</v>
      </c>
      <c r="AQ48" s="15">
        <f t="shared" si="32"/>
        <v>0</v>
      </c>
      <c r="AR48" s="15">
        <f t="shared" si="33"/>
        <v>0</v>
      </c>
      <c r="AS48" s="15">
        <f t="shared" si="34"/>
        <v>0</v>
      </c>
      <c r="AT48">
        <f t="shared" si="35"/>
        <v>0</v>
      </c>
      <c r="AU48">
        <f t="shared" si="36"/>
        <v>0</v>
      </c>
      <c r="AV48" t="b">
        <f t="shared" si="37"/>
        <v>1</v>
      </c>
    </row>
    <row r="49" spans="1:48" ht="102" customHeight="1" x14ac:dyDescent="0.25">
      <c r="A49" s="57">
        <v>184</v>
      </c>
      <c r="B49" s="29" t="s">
        <v>196</v>
      </c>
      <c r="C49" s="29" t="s">
        <v>449</v>
      </c>
      <c r="D49" s="29" t="s">
        <v>201</v>
      </c>
      <c r="E49" s="42" t="s">
        <v>32</v>
      </c>
      <c r="F49" s="27" t="s">
        <v>12</v>
      </c>
      <c r="G49" s="27"/>
      <c r="H49" s="27" t="s">
        <v>3</v>
      </c>
      <c r="I49" s="27"/>
      <c r="J49" s="27" t="s">
        <v>15</v>
      </c>
      <c r="K49" s="27"/>
      <c r="L49" s="27" t="s">
        <v>15</v>
      </c>
      <c r="M49" s="27"/>
      <c r="N49" s="27" t="s">
        <v>15</v>
      </c>
      <c r="O49" s="27"/>
      <c r="P49" s="27" t="s">
        <v>15</v>
      </c>
      <c r="Q49" s="27"/>
      <c r="R49" s="31" t="s">
        <v>65</v>
      </c>
      <c r="S49" s="27"/>
      <c r="T49" s="31" t="s">
        <v>15</v>
      </c>
      <c r="U49" s="27"/>
      <c r="V49" s="28">
        <f>IF($AV49,"INCOMPLETE", IF(AT49&lt;0,0,AT49))</f>
        <v>4</v>
      </c>
      <c r="W49" s="34"/>
      <c r="X49" s="50" t="s">
        <v>203</v>
      </c>
      <c r="Y49" s="40"/>
      <c r="Z49" s="40"/>
      <c r="AA49">
        <f t="shared" si="19"/>
        <v>0.39500000000000002</v>
      </c>
      <c r="AB49">
        <f t="shared" si="20"/>
        <v>0.71</v>
      </c>
      <c r="AC49">
        <f t="shared" si="21"/>
        <v>0.70399999999999996</v>
      </c>
      <c r="AD49">
        <f t="shared" si="22"/>
        <v>0</v>
      </c>
      <c r="AE49">
        <f t="shared" si="23"/>
        <v>0</v>
      </c>
      <c r="AF49">
        <f t="shared" si="24"/>
        <v>0</v>
      </c>
      <c r="AG49">
        <f t="shared" si="25"/>
        <v>0</v>
      </c>
      <c r="AH49">
        <f t="shared" si="26"/>
        <v>0.4</v>
      </c>
      <c r="AI49">
        <f t="shared" si="27"/>
        <v>0</v>
      </c>
      <c r="AJ49">
        <f>IF( $AV49=FALSE,VLOOKUP(Properties!$B$4, Confidentiality_Requirement,3,FALSE),0)</f>
        <v>1.51</v>
      </c>
      <c r="AK49">
        <f>IF( $AV49=FALSE,VLOOKUP(Properties!$B$5, Integrity_Requirement,3,FALSE),0)</f>
        <v>1.51</v>
      </c>
      <c r="AL49">
        <f>IF( $AV49=FALSE,VLOOKUP(Properties!$B$6, Availability_Requirement,3,FALSE),0)</f>
        <v>1.51</v>
      </c>
      <c r="AM49" s="14">
        <f t="shared" si="28"/>
        <v>0</v>
      </c>
      <c r="AN49" s="14">
        <f t="shared" si="29"/>
        <v>3.9487359999999998</v>
      </c>
      <c r="AO49" s="4">
        <f t="shared" si="30"/>
        <v>0</v>
      </c>
      <c r="AP49" s="15">
        <f t="shared" si="31"/>
        <v>0</v>
      </c>
      <c r="AQ49" s="15">
        <f t="shared" si="32"/>
        <v>0</v>
      </c>
      <c r="AR49" s="15">
        <f t="shared" si="33"/>
        <v>0</v>
      </c>
      <c r="AS49" s="15">
        <f t="shared" si="34"/>
        <v>4</v>
      </c>
      <c r="AT49">
        <f t="shared" si="35"/>
        <v>4</v>
      </c>
      <c r="AU49">
        <f t="shared" si="36"/>
        <v>4</v>
      </c>
      <c r="AV49" t="b">
        <f t="shared" si="37"/>
        <v>0</v>
      </c>
    </row>
    <row r="50" spans="1:48" ht="193.2" customHeight="1" x14ac:dyDescent="0.25">
      <c r="A50" s="57">
        <v>185</v>
      </c>
      <c r="B50" s="29" t="s">
        <v>408</v>
      </c>
      <c r="C50" s="29" t="s">
        <v>450</v>
      </c>
      <c r="D50" s="29" t="s">
        <v>409</v>
      </c>
      <c r="E50" s="42" t="s">
        <v>33</v>
      </c>
      <c r="F50" s="27" t="s">
        <v>13</v>
      </c>
      <c r="G50" s="27"/>
      <c r="H50" s="27" t="s">
        <v>2</v>
      </c>
      <c r="I50" s="27"/>
      <c r="J50" s="27" t="s">
        <v>15</v>
      </c>
      <c r="K50" s="27"/>
      <c r="L50" s="27" t="s">
        <v>16</v>
      </c>
      <c r="M50" s="27"/>
      <c r="N50" s="27" t="s">
        <v>16</v>
      </c>
      <c r="O50" s="27"/>
      <c r="P50" s="27" t="s">
        <v>17</v>
      </c>
      <c r="Q50" s="27"/>
      <c r="R50" s="31" t="s">
        <v>65</v>
      </c>
      <c r="S50" s="27"/>
      <c r="T50" s="31" t="s">
        <v>15</v>
      </c>
      <c r="U50" s="27"/>
      <c r="V50" s="28">
        <f>IF($AV50,"INCOMPLETE", IF(AT50&lt;0,0,AT50))</f>
        <v>8.1</v>
      </c>
      <c r="W50" s="34" t="s">
        <v>481</v>
      </c>
      <c r="X50" s="50" t="s">
        <v>256</v>
      </c>
      <c r="Y50" s="40"/>
      <c r="Z50" s="40"/>
      <c r="AA50">
        <f t="shared" si="19"/>
        <v>0.64600000000000002</v>
      </c>
      <c r="AB50">
        <f t="shared" si="20"/>
        <v>0.35</v>
      </c>
      <c r="AC50">
        <f t="shared" si="21"/>
        <v>0.70399999999999996</v>
      </c>
      <c r="AD50">
        <f t="shared" si="22"/>
        <v>0.27500000000000002</v>
      </c>
      <c r="AE50">
        <f t="shared" si="23"/>
        <v>0.27500000000000002</v>
      </c>
      <c r="AF50">
        <f t="shared" si="24"/>
        <v>0.66</v>
      </c>
      <c r="AG50">
        <f t="shared" si="25"/>
        <v>5.8</v>
      </c>
      <c r="AH50">
        <f t="shared" si="26"/>
        <v>0.4</v>
      </c>
      <c r="AI50">
        <f t="shared" si="27"/>
        <v>0</v>
      </c>
      <c r="AJ50">
        <f>IF( $AV50=FALSE,VLOOKUP(Properties!$B$4, Confidentiality_Requirement,3,FALSE),0)</f>
        <v>1.51</v>
      </c>
      <c r="AK50">
        <f>IF( $AV50=FALSE,VLOOKUP(Properties!$B$5, Integrity_Requirement,3,FALSE),0)</f>
        <v>1.51</v>
      </c>
      <c r="AL50">
        <f>IF( $AV50=FALSE,VLOOKUP(Properties!$B$6, Availability_Requirement,3,FALSE),0)</f>
        <v>1.51</v>
      </c>
      <c r="AM50" s="14">
        <f t="shared" si="28"/>
        <v>8.5496028749999997</v>
      </c>
      <c r="AN50" s="14">
        <f t="shared" si="29"/>
        <v>3.1834880000000001</v>
      </c>
      <c r="AO50" s="4">
        <f t="shared" si="30"/>
        <v>1.1759999999999999</v>
      </c>
      <c r="AP50" s="15">
        <f t="shared" si="31"/>
        <v>10</v>
      </c>
      <c r="AQ50" s="15">
        <f t="shared" si="32"/>
        <v>6.8</v>
      </c>
      <c r="AR50" s="15">
        <f t="shared" si="33"/>
        <v>6.8</v>
      </c>
      <c r="AS50" s="15">
        <f t="shared" si="34"/>
        <v>8.1</v>
      </c>
      <c r="AT50">
        <f t="shared" si="35"/>
        <v>8.1</v>
      </c>
      <c r="AU50">
        <f t="shared" si="36"/>
        <v>8.1</v>
      </c>
      <c r="AV50" t="b">
        <f t="shared" si="37"/>
        <v>0</v>
      </c>
    </row>
    <row r="51" spans="1:48" ht="108.6" customHeight="1" x14ac:dyDescent="0.25">
      <c r="A51" s="57">
        <v>186</v>
      </c>
      <c r="B51" s="29" t="s">
        <v>406</v>
      </c>
      <c r="C51" s="29" t="s">
        <v>451</v>
      </c>
      <c r="D51" s="29" t="s">
        <v>407</v>
      </c>
      <c r="E51" s="42" t="s">
        <v>32</v>
      </c>
      <c r="F51" s="27" t="s">
        <v>12</v>
      </c>
      <c r="G51" s="27"/>
      <c r="H51" s="27" t="s">
        <v>3</v>
      </c>
      <c r="I51" s="27"/>
      <c r="J51" s="27" t="s">
        <v>15</v>
      </c>
      <c r="K51" s="27"/>
      <c r="L51" s="27" t="s">
        <v>15</v>
      </c>
      <c r="M51" s="27"/>
      <c r="N51" s="27" t="s">
        <v>15</v>
      </c>
      <c r="O51" s="27"/>
      <c r="P51" s="27" t="s">
        <v>17</v>
      </c>
      <c r="Q51" s="27"/>
      <c r="R51" s="31" t="s">
        <v>3</v>
      </c>
      <c r="S51" s="27"/>
      <c r="T51" s="31" t="s">
        <v>15</v>
      </c>
      <c r="U51" s="27"/>
      <c r="V51" s="28">
        <f>IF($AV51,"INCOMPLETE", IF(AT51&lt;0,0,AT51))</f>
        <v>7.4</v>
      </c>
      <c r="W51" s="34" t="s">
        <v>492</v>
      </c>
      <c r="X51" s="50" t="s">
        <v>268</v>
      </c>
      <c r="Y51" s="40"/>
      <c r="Z51" s="40"/>
      <c r="AA51">
        <f t="shared" si="19"/>
        <v>0.39500000000000002</v>
      </c>
      <c r="AB51">
        <f t="shared" si="20"/>
        <v>0.71</v>
      </c>
      <c r="AC51">
        <f t="shared" si="21"/>
        <v>0.70399999999999996</v>
      </c>
      <c r="AD51">
        <f t="shared" si="22"/>
        <v>0</v>
      </c>
      <c r="AE51">
        <f t="shared" si="23"/>
        <v>0</v>
      </c>
      <c r="AF51">
        <f t="shared" si="24"/>
        <v>0.66</v>
      </c>
      <c r="AG51">
        <f t="shared" si="25"/>
        <v>4.9000000000000004</v>
      </c>
      <c r="AH51">
        <f t="shared" si="26"/>
        <v>0.1</v>
      </c>
      <c r="AI51">
        <f t="shared" si="27"/>
        <v>0</v>
      </c>
      <c r="AJ51">
        <f>IF( $AV51=FALSE,VLOOKUP(Properties!$B$4, Confidentiality_Requirement,3,FALSE),0)</f>
        <v>1.51</v>
      </c>
      <c r="AK51">
        <f>IF( $AV51=FALSE,VLOOKUP(Properties!$B$5, Integrity_Requirement,3,FALSE),0)</f>
        <v>1.51</v>
      </c>
      <c r="AL51">
        <f>IF( $AV51=FALSE,VLOOKUP(Properties!$B$6, Availability_Requirement,3,FALSE),0)</f>
        <v>1.51</v>
      </c>
      <c r="AM51" s="14">
        <f t="shared" si="28"/>
        <v>6.8706000000000005</v>
      </c>
      <c r="AN51" s="14">
        <f t="shared" si="29"/>
        <v>3.9487359999999998</v>
      </c>
      <c r="AO51" s="4">
        <f t="shared" si="30"/>
        <v>1.1759999999999999</v>
      </c>
      <c r="AP51" s="15">
        <f t="shared" si="31"/>
        <v>10</v>
      </c>
      <c r="AQ51" s="15">
        <f t="shared" si="32"/>
        <v>7.1</v>
      </c>
      <c r="AR51" s="15">
        <f t="shared" si="33"/>
        <v>7.1</v>
      </c>
      <c r="AS51" s="15">
        <f t="shared" si="34"/>
        <v>7.4</v>
      </c>
      <c r="AT51">
        <f t="shared" si="35"/>
        <v>7.4</v>
      </c>
      <c r="AU51">
        <f t="shared" si="36"/>
        <v>7.4</v>
      </c>
      <c r="AV51" t="b">
        <f t="shared" si="37"/>
        <v>0</v>
      </c>
    </row>
    <row r="52" spans="1:48" ht="115.05" customHeight="1" x14ac:dyDescent="0.25">
      <c r="A52" s="39">
        <v>187</v>
      </c>
      <c r="B52" s="29" t="s">
        <v>271</v>
      </c>
      <c r="C52" s="29" t="s">
        <v>452</v>
      </c>
      <c r="D52" s="29" t="s">
        <v>405</v>
      </c>
      <c r="E52" s="42" t="s">
        <v>45</v>
      </c>
      <c r="F52" s="27" t="s">
        <v>45</v>
      </c>
      <c r="G52" s="27"/>
      <c r="H52" s="27" t="s">
        <v>45</v>
      </c>
      <c r="I52" s="27"/>
      <c r="J52" s="27" t="s">
        <v>45</v>
      </c>
      <c r="K52" s="27"/>
      <c r="L52" s="27" t="s">
        <v>45</v>
      </c>
      <c r="M52" s="27"/>
      <c r="N52" s="27" t="s">
        <v>45</v>
      </c>
      <c r="O52" s="27"/>
      <c r="P52" s="27" t="s">
        <v>45</v>
      </c>
      <c r="Q52" s="27"/>
      <c r="R52" s="31" t="s">
        <v>45</v>
      </c>
      <c r="S52" s="27"/>
      <c r="T52" s="31" t="s">
        <v>15</v>
      </c>
      <c r="U52" s="27"/>
      <c r="V52" s="28" t="str">
        <f>IF($AV52,"INCOMPLETE", IF(AT52&lt;0,0,AT52))</f>
        <v>INCOMPLETE</v>
      </c>
      <c r="W52" s="34"/>
      <c r="X52" s="50" t="s">
        <v>274</v>
      </c>
      <c r="Y52" s="40"/>
      <c r="Z52" s="40"/>
      <c r="AA52">
        <f t="shared" si="19"/>
        <v>0</v>
      </c>
      <c r="AB52">
        <f t="shared" si="20"/>
        <v>0</v>
      </c>
      <c r="AC52">
        <f t="shared" si="21"/>
        <v>0</v>
      </c>
      <c r="AD52">
        <f t="shared" si="22"/>
        <v>0</v>
      </c>
      <c r="AE52">
        <f t="shared" si="23"/>
        <v>0</v>
      </c>
      <c r="AF52">
        <f t="shared" si="24"/>
        <v>0</v>
      </c>
      <c r="AG52">
        <f t="shared" si="25"/>
        <v>0</v>
      </c>
      <c r="AH52">
        <f t="shared" si="26"/>
        <v>0</v>
      </c>
      <c r="AI52">
        <f t="shared" si="27"/>
        <v>0</v>
      </c>
      <c r="AJ52">
        <f>IF( $AV52=FALSE,VLOOKUP(Properties!$B$4, Confidentiality_Requirement,3,FALSE),0)</f>
        <v>0</v>
      </c>
      <c r="AK52">
        <f>IF( $AV52=FALSE,VLOOKUP(Properties!$B$5, Integrity_Requirement,3,FALSE),0)</f>
        <v>0</v>
      </c>
      <c r="AL52">
        <f>IF( $AV52=FALSE,VLOOKUP(Properties!$B$6, Availability_Requirement,3,FALSE),0)</f>
        <v>0</v>
      </c>
      <c r="AM52" s="14">
        <f t="shared" si="28"/>
        <v>0</v>
      </c>
      <c r="AN52" s="14">
        <f t="shared" si="29"/>
        <v>0</v>
      </c>
      <c r="AO52" s="4">
        <f t="shared" si="30"/>
        <v>0</v>
      </c>
      <c r="AP52" s="15">
        <f t="shared" si="31"/>
        <v>0</v>
      </c>
      <c r="AQ52" s="15">
        <f t="shared" si="32"/>
        <v>0</v>
      </c>
      <c r="AR52" s="15">
        <f t="shared" si="33"/>
        <v>0</v>
      </c>
      <c r="AS52" s="15">
        <f t="shared" si="34"/>
        <v>0</v>
      </c>
      <c r="AT52">
        <f t="shared" si="35"/>
        <v>0</v>
      </c>
      <c r="AU52">
        <f t="shared" si="36"/>
        <v>0</v>
      </c>
      <c r="AV52" t="b">
        <f t="shared" si="37"/>
        <v>1</v>
      </c>
    </row>
    <row r="53" spans="1:48" ht="186.6" customHeight="1" x14ac:dyDescent="0.25">
      <c r="A53" s="57">
        <v>188</v>
      </c>
      <c r="B53" s="29" t="s">
        <v>277</v>
      </c>
      <c r="C53" s="29" t="s">
        <v>452</v>
      </c>
      <c r="D53" s="29" t="s">
        <v>278</v>
      </c>
      <c r="E53" s="42" t="s">
        <v>32</v>
      </c>
      <c r="F53" s="27" t="s">
        <v>12</v>
      </c>
      <c r="G53" s="27"/>
      <c r="H53" s="27" t="s">
        <v>3</v>
      </c>
      <c r="I53" s="27"/>
      <c r="J53" s="27" t="s">
        <v>15</v>
      </c>
      <c r="K53" s="27"/>
      <c r="L53" s="27" t="s">
        <v>16</v>
      </c>
      <c r="M53" s="27"/>
      <c r="N53" s="27" t="s">
        <v>15</v>
      </c>
      <c r="O53" s="27"/>
      <c r="P53" s="27" t="s">
        <v>16</v>
      </c>
      <c r="Q53" s="27"/>
      <c r="R53" s="31" t="s">
        <v>3</v>
      </c>
      <c r="S53" s="27"/>
      <c r="T53" s="31" t="s">
        <v>15</v>
      </c>
      <c r="U53" s="27"/>
      <c r="V53" s="28">
        <f>IF($AV53,"INCOMPLETE", IF(AT53&lt;0,0,AT53))</f>
        <v>5.5</v>
      </c>
      <c r="W53" s="34"/>
      <c r="X53" s="50" t="s">
        <v>279</v>
      </c>
      <c r="Y53" s="40"/>
      <c r="Z53" s="40"/>
      <c r="AA53">
        <f t="shared" si="19"/>
        <v>0.39500000000000002</v>
      </c>
      <c r="AB53">
        <f t="shared" si="20"/>
        <v>0.71</v>
      </c>
      <c r="AC53">
        <f t="shared" si="21"/>
        <v>0.70399999999999996</v>
      </c>
      <c r="AD53">
        <f t="shared" si="22"/>
        <v>0.27500000000000002</v>
      </c>
      <c r="AE53">
        <f t="shared" si="23"/>
        <v>0</v>
      </c>
      <c r="AF53">
        <f t="shared" si="24"/>
        <v>0.27500000000000002</v>
      </c>
      <c r="AG53">
        <f t="shared" si="25"/>
        <v>3.6</v>
      </c>
      <c r="AH53">
        <f t="shared" si="26"/>
        <v>0.1</v>
      </c>
      <c r="AI53">
        <f t="shared" si="27"/>
        <v>0</v>
      </c>
      <c r="AJ53">
        <f>IF( $AV53=FALSE,VLOOKUP(Properties!$B$4, Confidentiality_Requirement,3,FALSE),0)</f>
        <v>1.51</v>
      </c>
      <c r="AK53">
        <f>IF( $AV53=FALSE,VLOOKUP(Properties!$B$5, Integrity_Requirement,3,FALSE),0)</f>
        <v>1.51</v>
      </c>
      <c r="AL53">
        <f>IF( $AV53=FALSE,VLOOKUP(Properties!$B$6, Availability_Requirement,3,FALSE),0)</f>
        <v>1.51</v>
      </c>
      <c r="AM53" s="14">
        <f t="shared" si="28"/>
        <v>4.9382437499999998</v>
      </c>
      <c r="AN53" s="14">
        <f t="shared" si="29"/>
        <v>3.9487359999999998</v>
      </c>
      <c r="AO53" s="4">
        <f t="shared" si="30"/>
        <v>1.1759999999999999</v>
      </c>
      <c r="AP53" s="15">
        <f t="shared" si="31"/>
        <v>6.9</v>
      </c>
      <c r="AQ53" s="15">
        <f t="shared" si="32"/>
        <v>5</v>
      </c>
      <c r="AR53" s="15">
        <f t="shared" si="33"/>
        <v>5</v>
      </c>
      <c r="AS53" s="15">
        <f t="shared" si="34"/>
        <v>5.5</v>
      </c>
      <c r="AT53">
        <f t="shared" si="35"/>
        <v>5.5</v>
      </c>
      <c r="AU53">
        <f t="shared" si="36"/>
        <v>5.5</v>
      </c>
      <c r="AV53" t="b">
        <f t="shared" si="37"/>
        <v>0</v>
      </c>
    </row>
    <row r="54" spans="1:48" ht="85.95" customHeight="1" x14ac:dyDescent="0.25">
      <c r="A54" s="39">
        <v>194</v>
      </c>
      <c r="B54" s="29" t="s">
        <v>328</v>
      </c>
      <c r="C54" s="29" t="s">
        <v>453</v>
      </c>
      <c r="D54" s="29" t="s">
        <v>329</v>
      </c>
      <c r="E54" s="42" t="s">
        <v>45</v>
      </c>
      <c r="F54" s="27" t="s">
        <v>45</v>
      </c>
      <c r="G54" s="27"/>
      <c r="H54" s="27" t="s">
        <v>45</v>
      </c>
      <c r="I54" s="27"/>
      <c r="J54" s="27" t="s">
        <v>45</v>
      </c>
      <c r="K54" s="27"/>
      <c r="L54" s="27" t="s">
        <v>45</v>
      </c>
      <c r="M54" s="27"/>
      <c r="N54" s="27" t="s">
        <v>45</v>
      </c>
      <c r="O54" s="27"/>
      <c r="P54" s="27" t="s">
        <v>45</v>
      </c>
      <c r="Q54" s="27"/>
      <c r="R54" s="31" t="s">
        <v>45</v>
      </c>
      <c r="S54" s="27"/>
      <c r="T54" s="31" t="s">
        <v>15</v>
      </c>
      <c r="U54" s="27"/>
      <c r="V54" s="28" t="str">
        <f>IF($AV54,"INCOMPLETE", IF(AT54&lt;0,0,AT54))</f>
        <v>INCOMPLETE</v>
      </c>
      <c r="W54" s="34"/>
      <c r="X54" s="50" t="s">
        <v>330</v>
      </c>
      <c r="Y54" s="40"/>
      <c r="Z54" s="40"/>
      <c r="AA54">
        <f t="shared" si="19"/>
        <v>0</v>
      </c>
      <c r="AB54">
        <f t="shared" si="20"/>
        <v>0</v>
      </c>
      <c r="AC54">
        <f t="shared" si="21"/>
        <v>0</v>
      </c>
      <c r="AD54">
        <f t="shared" si="22"/>
        <v>0</v>
      </c>
      <c r="AE54">
        <f t="shared" si="23"/>
        <v>0</v>
      </c>
      <c r="AF54">
        <f t="shared" si="24"/>
        <v>0</v>
      </c>
      <c r="AG54">
        <f t="shared" si="25"/>
        <v>0</v>
      </c>
      <c r="AH54">
        <f t="shared" si="26"/>
        <v>0</v>
      </c>
      <c r="AI54">
        <f t="shared" si="27"/>
        <v>0</v>
      </c>
      <c r="AJ54">
        <f>IF( $AV54=FALSE,VLOOKUP(Properties!$B$4, Confidentiality_Requirement,3,FALSE),0)</f>
        <v>0</v>
      </c>
      <c r="AK54">
        <f>IF( $AV54=FALSE,VLOOKUP(Properties!$B$5, Integrity_Requirement,3,FALSE),0)</f>
        <v>0</v>
      </c>
      <c r="AL54">
        <f>IF( $AV54=FALSE,VLOOKUP(Properties!$B$6, Availability_Requirement,3,FALSE),0)</f>
        <v>0</v>
      </c>
      <c r="AM54" s="14">
        <f t="shared" si="28"/>
        <v>0</v>
      </c>
      <c r="AN54" s="14">
        <f t="shared" si="29"/>
        <v>0</v>
      </c>
      <c r="AO54" s="4">
        <f t="shared" si="30"/>
        <v>0</v>
      </c>
      <c r="AP54" s="15">
        <f t="shared" si="31"/>
        <v>0</v>
      </c>
      <c r="AQ54" s="15">
        <f t="shared" si="32"/>
        <v>0</v>
      </c>
      <c r="AR54" s="15">
        <f t="shared" si="33"/>
        <v>0</v>
      </c>
      <c r="AS54" s="15">
        <f t="shared" si="34"/>
        <v>0</v>
      </c>
      <c r="AT54">
        <f t="shared" si="35"/>
        <v>0</v>
      </c>
      <c r="AU54">
        <f t="shared" si="36"/>
        <v>0</v>
      </c>
      <c r="AV54" t="b">
        <f t="shared" si="37"/>
        <v>1</v>
      </c>
    </row>
    <row r="55" spans="1:48" ht="193.95" customHeight="1" x14ac:dyDescent="0.25">
      <c r="A55" s="57">
        <v>195</v>
      </c>
      <c r="B55" s="29" t="s">
        <v>326</v>
      </c>
      <c r="C55" s="29" t="s">
        <v>454</v>
      </c>
      <c r="D55" s="29" t="s">
        <v>327</v>
      </c>
      <c r="E55" s="42" t="s">
        <v>32</v>
      </c>
      <c r="F55" s="27" t="s">
        <v>12</v>
      </c>
      <c r="G55" s="27"/>
      <c r="H55" s="27" t="s">
        <v>3</v>
      </c>
      <c r="I55" s="27"/>
      <c r="J55" s="27" t="s">
        <v>15</v>
      </c>
      <c r="K55" s="27"/>
      <c r="L55" s="27" t="s">
        <v>17</v>
      </c>
      <c r="M55" s="27"/>
      <c r="N55" s="27" t="s">
        <v>15</v>
      </c>
      <c r="O55" s="27"/>
      <c r="P55" s="27" t="s">
        <v>15</v>
      </c>
      <c r="Q55" s="27"/>
      <c r="R55" s="31" t="s">
        <v>63</v>
      </c>
      <c r="S55" s="27"/>
      <c r="T55" s="31" t="s">
        <v>15</v>
      </c>
      <c r="U55" s="27"/>
      <c r="V55" s="28">
        <f>IF($AV55,"INCOMPLETE", IF(AT55&lt;0,0,AT55))</f>
        <v>8</v>
      </c>
      <c r="W55" s="34" t="s">
        <v>493</v>
      </c>
      <c r="X55" s="50" t="s">
        <v>300</v>
      </c>
      <c r="Y55" s="40"/>
      <c r="Z55" s="40"/>
      <c r="AA55">
        <f t="shared" si="19"/>
        <v>0.39500000000000002</v>
      </c>
      <c r="AB55">
        <f t="shared" si="20"/>
        <v>0.71</v>
      </c>
      <c r="AC55">
        <f t="shared" si="21"/>
        <v>0.70399999999999996</v>
      </c>
      <c r="AD55">
        <f t="shared" si="22"/>
        <v>0.66</v>
      </c>
      <c r="AE55">
        <f t="shared" si="23"/>
        <v>0</v>
      </c>
      <c r="AF55">
        <f t="shared" si="24"/>
        <v>0</v>
      </c>
      <c r="AG55">
        <f t="shared" si="25"/>
        <v>4.9000000000000004</v>
      </c>
      <c r="AH55">
        <f t="shared" si="26"/>
        <v>0.3</v>
      </c>
      <c r="AI55">
        <f t="shared" si="27"/>
        <v>0</v>
      </c>
      <c r="AJ55">
        <f>IF( $AV55=FALSE,VLOOKUP(Properties!$B$4, Confidentiality_Requirement,3,FALSE),0)</f>
        <v>1.51</v>
      </c>
      <c r="AK55">
        <f>IF( $AV55=FALSE,VLOOKUP(Properties!$B$5, Integrity_Requirement,3,FALSE),0)</f>
        <v>1.51</v>
      </c>
      <c r="AL55">
        <f>IF( $AV55=FALSE,VLOOKUP(Properties!$B$6, Availability_Requirement,3,FALSE),0)</f>
        <v>1.51</v>
      </c>
      <c r="AM55" s="14">
        <f t="shared" si="28"/>
        <v>6.8706000000000005</v>
      </c>
      <c r="AN55" s="14">
        <f t="shared" si="29"/>
        <v>3.9487359999999998</v>
      </c>
      <c r="AO55" s="4">
        <f t="shared" si="30"/>
        <v>1.1759999999999999</v>
      </c>
      <c r="AP55" s="15">
        <f t="shared" si="31"/>
        <v>10</v>
      </c>
      <c r="AQ55" s="15">
        <f t="shared" si="32"/>
        <v>7.1</v>
      </c>
      <c r="AR55" s="15">
        <f t="shared" si="33"/>
        <v>7.1</v>
      </c>
      <c r="AS55" s="15">
        <f t="shared" si="34"/>
        <v>8</v>
      </c>
      <c r="AT55">
        <f t="shared" si="35"/>
        <v>8</v>
      </c>
      <c r="AU55">
        <f t="shared" si="36"/>
        <v>8</v>
      </c>
      <c r="AV55" t="b">
        <f t="shared" si="37"/>
        <v>0</v>
      </c>
    </row>
    <row r="56" spans="1:48" ht="73.95" customHeight="1" x14ac:dyDescent="0.25">
      <c r="A56" s="57">
        <v>196</v>
      </c>
      <c r="B56" s="29" t="s">
        <v>321</v>
      </c>
      <c r="C56" s="29" t="s">
        <v>455</v>
      </c>
      <c r="D56" s="29" t="s">
        <v>322</v>
      </c>
      <c r="E56" s="42" t="s">
        <v>33</v>
      </c>
      <c r="F56" s="27" t="s">
        <v>13</v>
      </c>
      <c r="G56" s="27"/>
      <c r="H56" s="27" t="s">
        <v>11</v>
      </c>
      <c r="I56" s="27"/>
      <c r="J56" s="27" t="s">
        <v>15</v>
      </c>
      <c r="K56" s="27"/>
      <c r="L56" s="27" t="s">
        <v>16</v>
      </c>
      <c r="M56" s="27"/>
      <c r="N56" s="27" t="s">
        <v>15</v>
      </c>
      <c r="O56" s="27"/>
      <c r="P56" s="27" t="s">
        <v>16</v>
      </c>
      <c r="Q56" s="27"/>
      <c r="R56" s="31" t="s">
        <v>2</v>
      </c>
      <c r="S56" s="27"/>
      <c r="T56" s="31" t="s">
        <v>15</v>
      </c>
      <c r="U56" s="27"/>
      <c r="V56" s="28">
        <f>IF($AV56,"INCOMPLETE", IF(AT56&lt;0,0,AT56))</f>
        <v>7.9</v>
      </c>
      <c r="W56" s="34"/>
      <c r="X56" s="50" t="s">
        <v>323</v>
      </c>
      <c r="Y56" s="40"/>
      <c r="Z56" s="40"/>
      <c r="AA56">
        <f t="shared" si="19"/>
        <v>0.64600000000000002</v>
      </c>
      <c r="AB56">
        <f t="shared" si="20"/>
        <v>0.61</v>
      </c>
      <c r="AC56">
        <f t="shared" si="21"/>
        <v>0.70399999999999996</v>
      </c>
      <c r="AD56">
        <f t="shared" si="22"/>
        <v>0.27500000000000002</v>
      </c>
      <c r="AE56">
        <f t="shared" si="23"/>
        <v>0</v>
      </c>
      <c r="AF56">
        <f t="shared" si="24"/>
        <v>0.27500000000000002</v>
      </c>
      <c r="AG56">
        <f t="shared" si="25"/>
        <v>4.3</v>
      </c>
      <c r="AH56">
        <f t="shared" si="26"/>
        <v>0.5</v>
      </c>
      <c r="AI56">
        <f t="shared" si="27"/>
        <v>0</v>
      </c>
      <c r="AJ56">
        <f>IF( $AV56=FALSE,VLOOKUP(Properties!$B$4, Confidentiality_Requirement,3,FALSE),0)</f>
        <v>1.51</v>
      </c>
      <c r="AK56">
        <f>IF( $AV56=FALSE,VLOOKUP(Properties!$B$5, Integrity_Requirement,3,FALSE),0)</f>
        <v>1.51</v>
      </c>
      <c r="AL56">
        <f>IF( $AV56=FALSE,VLOOKUP(Properties!$B$6, Availability_Requirement,3,FALSE),0)</f>
        <v>1.51</v>
      </c>
      <c r="AM56" s="14">
        <f t="shared" si="28"/>
        <v>4.9382437499999998</v>
      </c>
      <c r="AN56" s="14">
        <f t="shared" si="29"/>
        <v>5.5483647999999999</v>
      </c>
      <c r="AO56" s="4">
        <f t="shared" si="30"/>
        <v>1.1759999999999999</v>
      </c>
      <c r="AP56" s="15">
        <f t="shared" si="31"/>
        <v>6.9</v>
      </c>
      <c r="AQ56" s="15">
        <f t="shared" si="32"/>
        <v>5.7</v>
      </c>
      <c r="AR56" s="15">
        <f t="shared" si="33"/>
        <v>5.7</v>
      </c>
      <c r="AS56" s="15">
        <f t="shared" si="34"/>
        <v>7.9</v>
      </c>
      <c r="AT56">
        <f t="shared" si="35"/>
        <v>7.9</v>
      </c>
      <c r="AU56">
        <f t="shared" si="36"/>
        <v>7.9</v>
      </c>
      <c r="AV56" t="b">
        <f t="shared" si="37"/>
        <v>0</v>
      </c>
    </row>
    <row r="57" spans="1:48" ht="85.2" customHeight="1" x14ac:dyDescent="0.25">
      <c r="A57" s="57">
        <v>197</v>
      </c>
      <c r="B57" s="29" t="s">
        <v>316</v>
      </c>
      <c r="C57" s="29" t="s">
        <v>456</v>
      </c>
      <c r="D57" s="29" t="s">
        <v>317</v>
      </c>
      <c r="E57" s="42" t="s">
        <v>33</v>
      </c>
      <c r="F57" s="27" t="s">
        <v>13</v>
      </c>
      <c r="G57" s="27"/>
      <c r="H57" s="27" t="s">
        <v>2</v>
      </c>
      <c r="I57" s="27"/>
      <c r="J57" s="27" t="s">
        <v>15</v>
      </c>
      <c r="K57" s="27"/>
      <c r="L57" s="27" t="s">
        <v>16</v>
      </c>
      <c r="M57" s="27"/>
      <c r="N57" s="27" t="s">
        <v>17</v>
      </c>
      <c r="O57" s="27"/>
      <c r="P57" s="27" t="s">
        <v>16</v>
      </c>
      <c r="Q57" s="27"/>
      <c r="R57" s="31" t="s">
        <v>63</v>
      </c>
      <c r="S57" s="27"/>
      <c r="T57" s="31" t="s">
        <v>15</v>
      </c>
      <c r="U57" s="27"/>
      <c r="V57" s="28">
        <f>IF($AV57,"INCOMPLETE", IF(AT57&lt;0,0,AT57))</f>
        <v>7.8</v>
      </c>
      <c r="W57" s="34"/>
      <c r="X57" s="50" t="s">
        <v>318</v>
      </c>
      <c r="Y57" s="40"/>
      <c r="Z57" s="40"/>
      <c r="AA57">
        <f t="shared" si="19"/>
        <v>0.64600000000000002</v>
      </c>
      <c r="AB57">
        <f t="shared" si="20"/>
        <v>0.35</v>
      </c>
      <c r="AC57">
        <f t="shared" si="21"/>
        <v>0.70399999999999996</v>
      </c>
      <c r="AD57">
        <f t="shared" si="22"/>
        <v>0.27500000000000002</v>
      </c>
      <c r="AE57">
        <f t="shared" si="23"/>
        <v>0.66</v>
      </c>
      <c r="AF57">
        <f t="shared" si="24"/>
        <v>0.27500000000000002</v>
      </c>
      <c r="AG57">
        <f t="shared" si="25"/>
        <v>5.8</v>
      </c>
      <c r="AH57">
        <f t="shared" si="26"/>
        <v>0.3</v>
      </c>
      <c r="AI57">
        <f t="shared" si="27"/>
        <v>0</v>
      </c>
      <c r="AJ57">
        <f>IF( $AV57=FALSE,VLOOKUP(Properties!$B$4, Confidentiality_Requirement,3,FALSE),0)</f>
        <v>1.51</v>
      </c>
      <c r="AK57">
        <f>IF( $AV57=FALSE,VLOOKUP(Properties!$B$5, Integrity_Requirement,3,FALSE),0)</f>
        <v>1.51</v>
      </c>
      <c r="AL57">
        <f>IF( $AV57=FALSE,VLOOKUP(Properties!$B$6, Availability_Requirement,3,FALSE),0)</f>
        <v>1.51</v>
      </c>
      <c r="AM57" s="14">
        <f t="shared" si="28"/>
        <v>8.5496028750000015</v>
      </c>
      <c r="AN57" s="14">
        <f t="shared" si="29"/>
        <v>3.1834880000000001</v>
      </c>
      <c r="AO57" s="4">
        <f t="shared" si="30"/>
        <v>1.1759999999999999</v>
      </c>
      <c r="AP57" s="15">
        <f t="shared" si="31"/>
        <v>10</v>
      </c>
      <c r="AQ57" s="15">
        <f t="shared" si="32"/>
        <v>6.8</v>
      </c>
      <c r="AR57" s="15">
        <f t="shared" si="33"/>
        <v>6.8</v>
      </c>
      <c r="AS57" s="15">
        <f t="shared" si="34"/>
        <v>7.8</v>
      </c>
      <c r="AT57">
        <f t="shared" si="35"/>
        <v>7.8</v>
      </c>
      <c r="AU57">
        <f t="shared" si="36"/>
        <v>7.8</v>
      </c>
      <c r="AV57" t="b">
        <f t="shared" si="37"/>
        <v>0</v>
      </c>
    </row>
    <row r="58" spans="1:48" ht="147.6" customHeight="1" x14ac:dyDescent="0.25">
      <c r="A58" s="57">
        <v>198</v>
      </c>
      <c r="B58" s="29" t="s">
        <v>277</v>
      </c>
      <c r="C58" s="29" t="s">
        <v>457</v>
      </c>
      <c r="D58" s="29" t="s">
        <v>278</v>
      </c>
      <c r="E58" s="42" t="s">
        <v>32</v>
      </c>
      <c r="F58" s="27" t="s">
        <v>12</v>
      </c>
      <c r="G58" s="27"/>
      <c r="H58" s="27" t="s">
        <v>3</v>
      </c>
      <c r="I58" s="27"/>
      <c r="J58" s="27" t="s">
        <v>15</v>
      </c>
      <c r="K58" s="27"/>
      <c r="L58" s="27" t="s">
        <v>16</v>
      </c>
      <c r="M58" s="27"/>
      <c r="N58" s="27" t="s">
        <v>16</v>
      </c>
      <c r="O58" s="27"/>
      <c r="P58" s="27" t="s">
        <v>15</v>
      </c>
      <c r="Q58" s="27"/>
      <c r="R58" s="31" t="s">
        <v>3</v>
      </c>
      <c r="S58" s="27"/>
      <c r="T58" s="31" t="s">
        <v>15</v>
      </c>
      <c r="U58" s="27"/>
      <c r="V58" s="28">
        <f>IF($AV58,"INCOMPLETE", IF(AT58&lt;0,0,AT58))</f>
        <v>5.5</v>
      </c>
      <c r="W58" s="34" t="s">
        <v>494</v>
      </c>
      <c r="X58" s="50" t="s">
        <v>279</v>
      </c>
      <c r="Y58" s="40"/>
      <c r="Z58" s="40"/>
      <c r="AA58">
        <f t="shared" si="19"/>
        <v>0.39500000000000002</v>
      </c>
      <c r="AB58">
        <f t="shared" si="20"/>
        <v>0.71</v>
      </c>
      <c r="AC58">
        <f t="shared" si="21"/>
        <v>0.70399999999999996</v>
      </c>
      <c r="AD58">
        <f t="shared" si="22"/>
        <v>0.27500000000000002</v>
      </c>
      <c r="AE58">
        <f t="shared" si="23"/>
        <v>0.27500000000000002</v>
      </c>
      <c r="AF58">
        <f t="shared" si="24"/>
        <v>0</v>
      </c>
      <c r="AG58">
        <f t="shared" si="25"/>
        <v>3.6</v>
      </c>
      <c r="AH58">
        <f t="shared" si="26"/>
        <v>0.1</v>
      </c>
      <c r="AI58">
        <f t="shared" si="27"/>
        <v>0</v>
      </c>
      <c r="AJ58">
        <f>IF( $AV58=FALSE,VLOOKUP(Properties!$B$4, Confidentiality_Requirement,3,FALSE),0)</f>
        <v>1.51</v>
      </c>
      <c r="AK58">
        <f>IF( $AV58=FALSE,VLOOKUP(Properties!$B$5, Integrity_Requirement,3,FALSE),0)</f>
        <v>1.51</v>
      </c>
      <c r="AL58">
        <f>IF( $AV58=FALSE,VLOOKUP(Properties!$B$6, Availability_Requirement,3,FALSE),0)</f>
        <v>1.51</v>
      </c>
      <c r="AM58" s="14">
        <f t="shared" si="28"/>
        <v>4.9382437499999998</v>
      </c>
      <c r="AN58" s="14">
        <f t="shared" si="29"/>
        <v>3.9487359999999998</v>
      </c>
      <c r="AO58" s="4">
        <f t="shared" si="30"/>
        <v>1.1759999999999999</v>
      </c>
      <c r="AP58" s="15">
        <f t="shared" si="31"/>
        <v>6.9</v>
      </c>
      <c r="AQ58" s="15">
        <f t="shared" si="32"/>
        <v>5</v>
      </c>
      <c r="AR58" s="15">
        <f t="shared" si="33"/>
        <v>5</v>
      </c>
      <c r="AS58" s="15">
        <f t="shared" si="34"/>
        <v>5.5</v>
      </c>
      <c r="AT58">
        <f t="shared" si="35"/>
        <v>5.5</v>
      </c>
      <c r="AU58">
        <f t="shared" si="36"/>
        <v>5.5</v>
      </c>
      <c r="AV58" t="b">
        <f t="shared" si="37"/>
        <v>0</v>
      </c>
    </row>
    <row r="59" spans="1:48" ht="69.599999999999994" customHeight="1" x14ac:dyDescent="0.25">
      <c r="A59" s="57">
        <v>199</v>
      </c>
      <c r="B59" s="29" t="s">
        <v>310</v>
      </c>
      <c r="C59" s="29" t="s">
        <v>458</v>
      </c>
      <c r="D59" s="29" t="s">
        <v>311</v>
      </c>
      <c r="E59" s="42" t="s">
        <v>33</v>
      </c>
      <c r="F59" s="27" t="s">
        <v>13</v>
      </c>
      <c r="G59" s="27"/>
      <c r="H59" s="27" t="s">
        <v>2</v>
      </c>
      <c r="I59" s="27"/>
      <c r="J59" s="27" t="s">
        <v>15</v>
      </c>
      <c r="K59" s="27"/>
      <c r="L59" s="27" t="s">
        <v>15</v>
      </c>
      <c r="M59" s="27"/>
      <c r="N59" s="27" t="s">
        <v>17</v>
      </c>
      <c r="O59" s="27"/>
      <c r="P59" s="27" t="s">
        <v>17</v>
      </c>
      <c r="Q59" s="27"/>
      <c r="R59" s="31" t="s">
        <v>65</v>
      </c>
      <c r="S59" s="27"/>
      <c r="T59" s="31" t="s">
        <v>15</v>
      </c>
      <c r="U59" s="27"/>
      <c r="V59" s="28">
        <f>IF($AV59,"INCOMPLETE", IF(AT59&lt;0,0,AT59))</f>
        <v>8.1</v>
      </c>
      <c r="W59" s="34"/>
      <c r="X59" s="50" t="s">
        <v>312</v>
      </c>
      <c r="Y59" s="40"/>
      <c r="Z59" s="40"/>
      <c r="AA59">
        <f t="shared" si="19"/>
        <v>0.64600000000000002</v>
      </c>
      <c r="AB59">
        <f t="shared" si="20"/>
        <v>0.35</v>
      </c>
      <c r="AC59">
        <f t="shared" si="21"/>
        <v>0.70399999999999996</v>
      </c>
      <c r="AD59">
        <f t="shared" si="22"/>
        <v>0</v>
      </c>
      <c r="AE59">
        <f t="shared" si="23"/>
        <v>0.66</v>
      </c>
      <c r="AF59">
        <f t="shared" si="24"/>
        <v>0.66</v>
      </c>
      <c r="AG59">
        <f t="shared" si="25"/>
        <v>6.2</v>
      </c>
      <c r="AH59">
        <f t="shared" si="26"/>
        <v>0.4</v>
      </c>
      <c r="AI59">
        <f t="shared" si="27"/>
        <v>0</v>
      </c>
      <c r="AJ59">
        <f>IF( $AV59=FALSE,VLOOKUP(Properties!$B$4, Confidentiality_Requirement,3,FALSE),0)</f>
        <v>1.51</v>
      </c>
      <c r="AK59">
        <f>IF( $AV59=FALSE,VLOOKUP(Properties!$B$5, Integrity_Requirement,3,FALSE),0)</f>
        <v>1.51</v>
      </c>
      <c r="AL59">
        <f>IF( $AV59=FALSE,VLOOKUP(Properties!$B$6, Availability_Requirement,3,FALSE),0)</f>
        <v>1.51</v>
      </c>
      <c r="AM59" s="14">
        <f t="shared" si="28"/>
        <v>9.2066040000000005</v>
      </c>
      <c r="AN59" s="14">
        <f t="shared" si="29"/>
        <v>3.1834880000000001</v>
      </c>
      <c r="AO59" s="4">
        <f t="shared" si="30"/>
        <v>1.1759999999999999</v>
      </c>
      <c r="AP59" s="15">
        <f t="shared" si="31"/>
        <v>10</v>
      </c>
      <c r="AQ59" s="15">
        <f t="shared" si="32"/>
        <v>6.8</v>
      </c>
      <c r="AR59" s="15">
        <f t="shared" si="33"/>
        <v>6.8</v>
      </c>
      <c r="AS59" s="15">
        <f t="shared" si="34"/>
        <v>8.1</v>
      </c>
      <c r="AT59">
        <f t="shared" si="35"/>
        <v>8.1</v>
      </c>
      <c r="AU59">
        <f t="shared" si="36"/>
        <v>8.1</v>
      </c>
      <c r="AV59" t="b">
        <f t="shared" si="37"/>
        <v>0</v>
      </c>
    </row>
    <row r="60" spans="1:48" ht="136.80000000000001" customHeight="1" x14ac:dyDescent="0.25">
      <c r="A60" s="39">
        <v>200</v>
      </c>
      <c r="B60" s="29" t="s">
        <v>297</v>
      </c>
      <c r="C60" s="29" t="s">
        <v>458</v>
      </c>
      <c r="D60" s="29" t="s">
        <v>299</v>
      </c>
      <c r="E60" s="42" t="s">
        <v>45</v>
      </c>
      <c r="F60" s="27" t="s">
        <v>45</v>
      </c>
      <c r="G60" s="27"/>
      <c r="H60" s="27" t="s">
        <v>45</v>
      </c>
      <c r="I60" s="27"/>
      <c r="J60" s="27" t="s">
        <v>45</v>
      </c>
      <c r="K60" s="27"/>
      <c r="L60" s="27" t="s">
        <v>45</v>
      </c>
      <c r="M60" s="27"/>
      <c r="N60" s="27" t="s">
        <v>45</v>
      </c>
      <c r="O60" s="27"/>
      <c r="P60" s="27" t="s">
        <v>45</v>
      </c>
      <c r="Q60" s="27"/>
      <c r="R60" s="31" t="s">
        <v>45</v>
      </c>
      <c r="S60" s="27"/>
      <c r="T60" s="31" t="s">
        <v>15</v>
      </c>
      <c r="U60" s="27"/>
      <c r="V60" s="28" t="str">
        <f>IF($AV60,"INCOMPLETE", IF(AT60&lt;0,0,AT60))</f>
        <v>INCOMPLETE</v>
      </c>
      <c r="W60" s="34"/>
      <c r="X60" s="50" t="s">
        <v>300</v>
      </c>
      <c r="Y60" s="40"/>
      <c r="Z60" s="40"/>
      <c r="AA60">
        <f t="shared" si="19"/>
        <v>0</v>
      </c>
      <c r="AB60">
        <f t="shared" si="20"/>
        <v>0</v>
      </c>
      <c r="AC60">
        <f t="shared" si="21"/>
        <v>0</v>
      </c>
      <c r="AD60">
        <f t="shared" si="22"/>
        <v>0</v>
      </c>
      <c r="AE60">
        <f t="shared" si="23"/>
        <v>0</v>
      </c>
      <c r="AF60">
        <f t="shared" si="24"/>
        <v>0</v>
      </c>
      <c r="AG60">
        <f t="shared" si="25"/>
        <v>0</v>
      </c>
      <c r="AH60">
        <f t="shared" si="26"/>
        <v>0</v>
      </c>
      <c r="AI60">
        <f t="shared" si="27"/>
        <v>0</v>
      </c>
      <c r="AJ60">
        <f>IF( $AV60=FALSE,VLOOKUP(Properties!$B$4, Confidentiality_Requirement,3,FALSE),0)</f>
        <v>0</v>
      </c>
      <c r="AK60">
        <f>IF( $AV60=FALSE,VLOOKUP(Properties!$B$5, Integrity_Requirement,3,FALSE),0)</f>
        <v>0</v>
      </c>
      <c r="AL60">
        <f>IF( $AV60=FALSE,VLOOKUP(Properties!$B$6, Availability_Requirement,3,FALSE),0)</f>
        <v>0</v>
      </c>
      <c r="AM60" s="14">
        <f t="shared" si="28"/>
        <v>0</v>
      </c>
      <c r="AN60" s="14">
        <f t="shared" si="29"/>
        <v>0</v>
      </c>
      <c r="AO60" s="4">
        <f t="shared" si="30"/>
        <v>0</v>
      </c>
      <c r="AP60" s="15">
        <f t="shared" si="31"/>
        <v>0</v>
      </c>
      <c r="AQ60" s="15">
        <f t="shared" si="32"/>
        <v>0</v>
      </c>
      <c r="AR60" s="15">
        <f t="shared" si="33"/>
        <v>0</v>
      </c>
      <c r="AS60" s="15">
        <f t="shared" si="34"/>
        <v>0</v>
      </c>
      <c r="AT60">
        <f t="shared" si="35"/>
        <v>0</v>
      </c>
      <c r="AU60">
        <f t="shared" si="36"/>
        <v>0</v>
      </c>
      <c r="AV60" t="b">
        <f t="shared" si="37"/>
        <v>1</v>
      </c>
    </row>
    <row r="61" spans="1:48" ht="73.95" customHeight="1" x14ac:dyDescent="0.25">
      <c r="A61" s="57">
        <v>201</v>
      </c>
      <c r="B61" s="29" t="s">
        <v>412</v>
      </c>
      <c r="C61" s="29" t="s">
        <v>459</v>
      </c>
      <c r="D61" s="29" t="s">
        <v>413</v>
      </c>
      <c r="E61" s="42" t="s">
        <v>32</v>
      </c>
      <c r="F61" s="27" t="s">
        <v>12</v>
      </c>
      <c r="G61" s="27"/>
      <c r="H61" s="27" t="s">
        <v>3</v>
      </c>
      <c r="I61" s="27"/>
      <c r="J61" s="27" t="s">
        <v>15</v>
      </c>
      <c r="K61" s="27"/>
      <c r="L61" s="27" t="s">
        <v>15</v>
      </c>
      <c r="M61" s="27"/>
      <c r="N61" s="27" t="s">
        <v>15</v>
      </c>
      <c r="O61" s="27"/>
      <c r="P61" s="27" t="s">
        <v>15</v>
      </c>
      <c r="Q61" s="27"/>
      <c r="R61" s="31" t="s">
        <v>15</v>
      </c>
      <c r="S61" s="27"/>
      <c r="T61" s="31" t="s">
        <v>15</v>
      </c>
      <c r="U61" s="27"/>
      <c r="V61" s="28">
        <f>IF($AV61,"INCOMPLETE", IF(AT61&lt;0,0,AT61))</f>
        <v>0</v>
      </c>
      <c r="W61" s="34" t="s">
        <v>495</v>
      </c>
      <c r="X61" s="50" t="s">
        <v>323</v>
      </c>
      <c r="Y61" s="40"/>
      <c r="Z61" s="40"/>
      <c r="AA61">
        <f t="shared" si="19"/>
        <v>0.39500000000000002</v>
      </c>
      <c r="AB61">
        <f t="shared" si="20"/>
        <v>0.71</v>
      </c>
      <c r="AC61">
        <f t="shared" si="21"/>
        <v>0.70399999999999996</v>
      </c>
      <c r="AD61">
        <f t="shared" si="22"/>
        <v>0</v>
      </c>
      <c r="AE61">
        <f t="shared" si="23"/>
        <v>0</v>
      </c>
      <c r="AF61">
        <f t="shared" si="24"/>
        <v>0</v>
      </c>
      <c r="AG61">
        <f t="shared" si="25"/>
        <v>0</v>
      </c>
      <c r="AH61">
        <f t="shared" si="26"/>
        <v>0</v>
      </c>
      <c r="AI61">
        <f t="shared" si="27"/>
        <v>0</v>
      </c>
      <c r="AJ61">
        <f>IF( $AV61=FALSE,VLOOKUP(Properties!$B$4, Confidentiality_Requirement,3,FALSE),0)</f>
        <v>1.51</v>
      </c>
      <c r="AK61">
        <f>IF( $AV61=FALSE,VLOOKUP(Properties!$B$5, Integrity_Requirement,3,FALSE),0)</f>
        <v>1.51</v>
      </c>
      <c r="AL61">
        <f>IF( $AV61=FALSE,VLOOKUP(Properties!$B$6, Availability_Requirement,3,FALSE),0)</f>
        <v>1.51</v>
      </c>
      <c r="AM61" s="14">
        <f t="shared" si="28"/>
        <v>0</v>
      </c>
      <c r="AN61" s="14">
        <f t="shared" si="29"/>
        <v>3.9487359999999998</v>
      </c>
      <c r="AO61" s="4">
        <f t="shared" si="30"/>
        <v>0</v>
      </c>
      <c r="AP61" s="15">
        <f t="shared" si="31"/>
        <v>0</v>
      </c>
      <c r="AQ61" s="15">
        <f t="shared" si="32"/>
        <v>0</v>
      </c>
      <c r="AR61" s="15">
        <f t="shared" si="33"/>
        <v>0</v>
      </c>
      <c r="AS61" s="15">
        <f t="shared" si="34"/>
        <v>0</v>
      </c>
      <c r="AT61">
        <f t="shared" si="35"/>
        <v>0</v>
      </c>
      <c r="AU61">
        <f t="shared" si="36"/>
        <v>0</v>
      </c>
      <c r="AV61" t="b">
        <f t="shared" si="37"/>
        <v>0</v>
      </c>
    </row>
    <row r="62" spans="1:48" ht="145.19999999999999" customHeight="1" x14ac:dyDescent="0.25">
      <c r="A62" s="39">
        <v>202</v>
      </c>
      <c r="B62" s="29" t="s">
        <v>380</v>
      </c>
      <c r="C62" s="29" t="s">
        <v>460</v>
      </c>
      <c r="D62" s="29" t="s">
        <v>381</v>
      </c>
      <c r="E62" s="42" t="s">
        <v>45</v>
      </c>
      <c r="F62" s="27" t="s">
        <v>45</v>
      </c>
      <c r="G62" s="27"/>
      <c r="H62" s="27" t="s">
        <v>45</v>
      </c>
      <c r="I62" s="27"/>
      <c r="J62" s="27" t="s">
        <v>45</v>
      </c>
      <c r="K62" s="27"/>
      <c r="L62" s="27" t="s">
        <v>45</v>
      </c>
      <c r="M62" s="27"/>
      <c r="N62" s="27" t="s">
        <v>45</v>
      </c>
      <c r="O62" s="27"/>
      <c r="P62" s="27" t="s">
        <v>45</v>
      </c>
      <c r="Q62" s="27"/>
      <c r="R62" s="31" t="s">
        <v>45</v>
      </c>
      <c r="S62" s="27"/>
      <c r="T62" s="31" t="s">
        <v>15</v>
      </c>
      <c r="U62" s="27"/>
      <c r="V62" s="28" t="str">
        <f>IF($AV62,"INCOMPLETE", IF(AT62&lt;0,0,AT62))</f>
        <v>INCOMPLETE</v>
      </c>
      <c r="W62" s="34"/>
      <c r="X62" s="50" t="s">
        <v>268</v>
      </c>
      <c r="Y62" s="40"/>
      <c r="Z62" s="40"/>
      <c r="AA62">
        <f t="shared" si="19"/>
        <v>0</v>
      </c>
      <c r="AB62">
        <f t="shared" si="20"/>
        <v>0</v>
      </c>
      <c r="AC62">
        <f t="shared" si="21"/>
        <v>0</v>
      </c>
      <c r="AD62">
        <f t="shared" si="22"/>
        <v>0</v>
      </c>
      <c r="AE62">
        <f t="shared" si="23"/>
        <v>0</v>
      </c>
      <c r="AF62">
        <f t="shared" si="24"/>
        <v>0</v>
      </c>
      <c r="AG62">
        <f t="shared" si="25"/>
        <v>0</v>
      </c>
      <c r="AH62">
        <f t="shared" si="26"/>
        <v>0</v>
      </c>
      <c r="AI62">
        <f t="shared" si="27"/>
        <v>0</v>
      </c>
      <c r="AJ62">
        <f>IF( $AV62=FALSE,VLOOKUP(Properties!$B$4, Confidentiality_Requirement,3,FALSE),0)</f>
        <v>0</v>
      </c>
      <c r="AK62">
        <f>IF( $AV62=FALSE,VLOOKUP(Properties!$B$5, Integrity_Requirement,3,FALSE),0)</f>
        <v>0</v>
      </c>
      <c r="AL62">
        <f>IF( $AV62=FALSE,VLOOKUP(Properties!$B$6, Availability_Requirement,3,FALSE),0)</f>
        <v>0</v>
      </c>
      <c r="AM62" s="14">
        <f t="shared" si="28"/>
        <v>0</v>
      </c>
      <c r="AN62" s="14">
        <f t="shared" si="29"/>
        <v>0</v>
      </c>
      <c r="AO62" s="4">
        <f t="shared" si="30"/>
        <v>0</v>
      </c>
      <c r="AP62" s="15">
        <f t="shared" si="31"/>
        <v>0</v>
      </c>
      <c r="AQ62" s="15">
        <f t="shared" si="32"/>
        <v>0</v>
      </c>
      <c r="AR62" s="15">
        <f t="shared" si="33"/>
        <v>0</v>
      </c>
      <c r="AS62" s="15">
        <f t="shared" si="34"/>
        <v>0</v>
      </c>
      <c r="AT62">
        <f t="shared" si="35"/>
        <v>0</v>
      </c>
      <c r="AU62">
        <f t="shared" si="36"/>
        <v>0</v>
      </c>
      <c r="AV62" t="b">
        <f t="shared" si="37"/>
        <v>1</v>
      </c>
    </row>
    <row r="63" spans="1:48" ht="72" customHeight="1" x14ac:dyDescent="0.25">
      <c r="A63" s="57">
        <v>203</v>
      </c>
      <c r="B63" s="29" t="s">
        <v>410</v>
      </c>
      <c r="C63" s="29" t="s">
        <v>460</v>
      </c>
      <c r="D63" s="29" t="s">
        <v>411</v>
      </c>
      <c r="E63" s="42" t="s">
        <v>32</v>
      </c>
      <c r="F63" s="27" t="s">
        <v>13</v>
      </c>
      <c r="G63" s="27"/>
      <c r="H63" s="27" t="s">
        <v>2</v>
      </c>
      <c r="I63" s="27"/>
      <c r="J63" s="27" t="s">
        <v>15</v>
      </c>
      <c r="K63" s="27"/>
      <c r="L63" s="27" t="s">
        <v>15</v>
      </c>
      <c r="M63" s="27"/>
      <c r="N63" s="27" t="s">
        <v>16</v>
      </c>
      <c r="O63" s="27"/>
      <c r="P63" s="27" t="s">
        <v>16</v>
      </c>
      <c r="Q63" s="27"/>
      <c r="R63" s="31" t="s">
        <v>63</v>
      </c>
      <c r="S63" s="27"/>
      <c r="T63" s="31" t="s">
        <v>15</v>
      </c>
      <c r="U63" s="27"/>
      <c r="V63" s="28">
        <f>IF($AV63,"INCOMPLETE", IF(AT63&lt;0,0,AT63))</f>
        <v>6.2</v>
      </c>
      <c r="W63" s="34"/>
      <c r="X63" s="50" t="s">
        <v>318</v>
      </c>
      <c r="Y63" s="40"/>
      <c r="Z63" s="40"/>
      <c r="AA63">
        <f t="shared" si="19"/>
        <v>0.64600000000000002</v>
      </c>
      <c r="AB63">
        <f t="shared" si="20"/>
        <v>0.35</v>
      </c>
      <c r="AC63">
        <f t="shared" si="21"/>
        <v>0.70399999999999996</v>
      </c>
      <c r="AD63">
        <f t="shared" si="22"/>
        <v>0</v>
      </c>
      <c r="AE63">
        <f t="shared" si="23"/>
        <v>0.27500000000000002</v>
      </c>
      <c r="AF63">
        <f t="shared" si="24"/>
        <v>0.27500000000000002</v>
      </c>
      <c r="AG63">
        <f t="shared" si="25"/>
        <v>3.2</v>
      </c>
      <c r="AH63">
        <f t="shared" si="26"/>
        <v>0.3</v>
      </c>
      <c r="AI63">
        <f t="shared" si="27"/>
        <v>0</v>
      </c>
      <c r="AJ63">
        <f>IF( $AV63=FALSE,VLOOKUP(Properties!$B$4, Confidentiality_Requirement,3,FALSE),0)</f>
        <v>1.51</v>
      </c>
      <c r="AK63">
        <f>IF( $AV63=FALSE,VLOOKUP(Properties!$B$5, Integrity_Requirement,3,FALSE),0)</f>
        <v>1.51</v>
      </c>
      <c r="AL63">
        <f>IF( $AV63=FALSE,VLOOKUP(Properties!$B$6, Availability_Requirement,3,FALSE),0)</f>
        <v>1.51</v>
      </c>
      <c r="AM63" s="14">
        <f t="shared" si="28"/>
        <v>4.9382437499999998</v>
      </c>
      <c r="AN63" s="14">
        <f t="shared" si="29"/>
        <v>3.1834880000000001</v>
      </c>
      <c r="AO63" s="4">
        <f t="shared" si="30"/>
        <v>1.1759999999999999</v>
      </c>
      <c r="AP63" s="15">
        <f t="shared" si="31"/>
        <v>6.9</v>
      </c>
      <c r="AQ63" s="15">
        <f t="shared" si="32"/>
        <v>4.5999999999999996</v>
      </c>
      <c r="AR63" s="15">
        <f t="shared" si="33"/>
        <v>4.5999999999999996</v>
      </c>
      <c r="AS63" s="15">
        <f t="shared" si="34"/>
        <v>6.2</v>
      </c>
      <c r="AT63">
        <f t="shared" si="35"/>
        <v>6.2</v>
      </c>
      <c r="AU63">
        <f t="shared" si="36"/>
        <v>6.2</v>
      </c>
      <c r="AV63" t="b">
        <f t="shared" si="37"/>
        <v>0</v>
      </c>
    </row>
    <row r="64" spans="1:48" ht="115.05" customHeight="1" x14ac:dyDescent="0.25">
      <c r="A64" s="39">
        <v>204</v>
      </c>
      <c r="B64" s="29" t="s">
        <v>271</v>
      </c>
      <c r="C64" s="29" t="s">
        <v>461</v>
      </c>
      <c r="D64" s="29" t="s">
        <v>382</v>
      </c>
      <c r="E64" s="42" t="s">
        <v>45</v>
      </c>
      <c r="F64" s="27" t="s">
        <v>45</v>
      </c>
      <c r="G64" s="27"/>
      <c r="H64" s="27" t="s">
        <v>45</v>
      </c>
      <c r="I64" s="27"/>
      <c r="J64" s="27" t="s">
        <v>45</v>
      </c>
      <c r="K64" s="27"/>
      <c r="L64" s="27" t="s">
        <v>45</v>
      </c>
      <c r="M64" s="27"/>
      <c r="N64" s="27" t="s">
        <v>45</v>
      </c>
      <c r="O64" s="27"/>
      <c r="P64" s="27" t="s">
        <v>45</v>
      </c>
      <c r="Q64" s="27"/>
      <c r="R64" s="31" t="s">
        <v>45</v>
      </c>
      <c r="S64" s="27"/>
      <c r="T64" s="31" t="s">
        <v>15</v>
      </c>
      <c r="U64" s="27"/>
      <c r="V64" s="28" t="str">
        <f>IF($AV64,"INCOMPLETE", IF(AT64&lt;0,0,AT64))</f>
        <v>INCOMPLETE</v>
      </c>
      <c r="W64" s="34"/>
      <c r="X64" s="50" t="s">
        <v>274</v>
      </c>
      <c r="Y64" s="40"/>
      <c r="Z64" s="40"/>
      <c r="AA64">
        <f t="shared" si="19"/>
        <v>0</v>
      </c>
      <c r="AB64">
        <f t="shared" si="20"/>
        <v>0</v>
      </c>
      <c r="AC64">
        <f t="shared" si="21"/>
        <v>0</v>
      </c>
      <c r="AD64">
        <f t="shared" si="22"/>
        <v>0</v>
      </c>
      <c r="AE64">
        <f t="shared" si="23"/>
        <v>0</v>
      </c>
      <c r="AF64">
        <f t="shared" si="24"/>
        <v>0</v>
      </c>
      <c r="AG64">
        <f t="shared" si="25"/>
        <v>0</v>
      </c>
      <c r="AH64">
        <f t="shared" si="26"/>
        <v>0</v>
      </c>
      <c r="AI64">
        <f t="shared" si="27"/>
        <v>0</v>
      </c>
      <c r="AJ64">
        <f>IF( $AV64=FALSE,VLOOKUP(Properties!$B$4, Confidentiality_Requirement,3,FALSE),0)</f>
        <v>0</v>
      </c>
      <c r="AK64">
        <f>IF( $AV64=FALSE,VLOOKUP(Properties!$B$5, Integrity_Requirement,3,FALSE),0)</f>
        <v>0</v>
      </c>
      <c r="AL64">
        <f>IF( $AV64=FALSE,VLOOKUP(Properties!$B$6, Availability_Requirement,3,FALSE),0)</f>
        <v>0</v>
      </c>
      <c r="AM64" s="14">
        <f t="shared" si="28"/>
        <v>0</v>
      </c>
      <c r="AN64" s="14">
        <f t="shared" si="29"/>
        <v>0</v>
      </c>
      <c r="AO64" s="4">
        <f t="shared" si="30"/>
        <v>0</v>
      </c>
      <c r="AP64" s="15">
        <f t="shared" si="31"/>
        <v>0</v>
      </c>
      <c r="AQ64" s="15">
        <f t="shared" si="32"/>
        <v>0</v>
      </c>
      <c r="AR64" s="15">
        <f t="shared" si="33"/>
        <v>0</v>
      </c>
      <c r="AS64" s="15">
        <f t="shared" si="34"/>
        <v>0</v>
      </c>
      <c r="AT64">
        <f t="shared" si="35"/>
        <v>0</v>
      </c>
      <c r="AU64">
        <f t="shared" si="36"/>
        <v>0</v>
      </c>
      <c r="AV64" t="b">
        <f t="shared" si="37"/>
        <v>1</v>
      </c>
    </row>
    <row r="65" spans="1:48" ht="181.2" customHeight="1" x14ac:dyDescent="0.25">
      <c r="A65" s="57">
        <v>205</v>
      </c>
      <c r="B65" s="29" t="s">
        <v>277</v>
      </c>
      <c r="C65" s="29" t="s">
        <v>461</v>
      </c>
      <c r="D65" s="29" t="s">
        <v>278</v>
      </c>
      <c r="E65" s="42" t="s">
        <v>33</v>
      </c>
      <c r="F65" s="27" t="s">
        <v>13</v>
      </c>
      <c r="G65" s="27"/>
      <c r="H65" s="27" t="s">
        <v>11</v>
      </c>
      <c r="I65" s="27"/>
      <c r="J65" s="27" t="s">
        <v>53</v>
      </c>
      <c r="K65" s="27"/>
      <c r="L65" s="27" t="s">
        <v>16</v>
      </c>
      <c r="M65" s="27"/>
      <c r="N65" s="27" t="s">
        <v>16</v>
      </c>
      <c r="O65" s="27"/>
      <c r="P65" s="27" t="s">
        <v>15</v>
      </c>
      <c r="Q65" s="27"/>
      <c r="R65" s="31" t="s">
        <v>63</v>
      </c>
      <c r="S65" s="27"/>
      <c r="T65" s="31" t="s">
        <v>15</v>
      </c>
      <c r="U65" s="27"/>
      <c r="V65" s="28">
        <f>IF($AV65,"INCOMPLETE", IF(AT65&lt;0,0,AT65))</f>
        <v>6.6</v>
      </c>
      <c r="W65" s="34"/>
      <c r="X65" s="50" t="s">
        <v>279</v>
      </c>
      <c r="Y65" s="40"/>
      <c r="Z65" s="40"/>
      <c r="AA65">
        <f t="shared" si="19"/>
        <v>0.64600000000000002</v>
      </c>
      <c r="AB65">
        <f t="shared" si="20"/>
        <v>0.61</v>
      </c>
      <c r="AC65">
        <f t="shared" si="21"/>
        <v>0.56000000000000005</v>
      </c>
      <c r="AD65">
        <f t="shared" si="22"/>
        <v>0.27500000000000002</v>
      </c>
      <c r="AE65">
        <f t="shared" si="23"/>
        <v>0.27500000000000002</v>
      </c>
      <c r="AF65">
        <f t="shared" si="24"/>
        <v>0</v>
      </c>
      <c r="AG65">
        <f t="shared" si="25"/>
        <v>3.8</v>
      </c>
      <c r="AH65">
        <f t="shared" si="26"/>
        <v>0.3</v>
      </c>
      <c r="AI65">
        <f t="shared" si="27"/>
        <v>0</v>
      </c>
      <c r="AJ65">
        <f>IF( $AV65=FALSE,VLOOKUP(Properties!$B$4, Confidentiality_Requirement,3,FALSE),0)</f>
        <v>1.51</v>
      </c>
      <c r="AK65">
        <f>IF( $AV65=FALSE,VLOOKUP(Properties!$B$5, Integrity_Requirement,3,FALSE),0)</f>
        <v>1.51</v>
      </c>
      <c r="AL65">
        <f>IF( $AV65=FALSE,VLOOKUP(Properties!$B$6, Availability_Requirement,3,FALSE),0)</f>
        <v>1.51</v>
      </c>
      <c r="AM65" s="14">
        <f t="shared" si="28"/>
        <v>4.9382437499999998</v>
      </c>
      <c r="AN65" s="14">
        <f t="shared" si="29"/>
        <v>4.4134719999999996</v>
      </c>
      <c r="AO65" s="4">
        <f t="shared" si="30"/>
        <v>1.1759999999999999</v>
      </c>
      <c r="AP65" s="15">
        <f t="shared" si="31"/>
        <v>6.9</v>
      </c>
      <c r="AQ65" s="15">
        <f t="shared" si="32"/>
        <v>5.2</v>
      </c>
      <c r="AR65" s="15">
        <f t="shared" si="33"/>
        <v>5.2</v>
      </c>
      <c r="AS65" s="15">
        <f t="shared" si="34"/>
        <v>6.6</v>
      </c>
      <c r="AT65">
        <f t="shared" si="35"/>
        <v>6.6</v>
      </c>
      <c r="AU65">
        <f t="shared" si="36"/>
        <v>6.6</v>
      </c>
      <c r="AV65" t="b">
        <f t="shared" si="37"/>
        <v>0</v>
      </c>
    </row>
    <row r="66" spans="1:48" ht="141" customHeight="1" x14ac:dyDescent="0.25">
      <c r="A66" s="57">
        <v>206</v>
      </c>
      <c r="B66" s="29" t="s">
        <v>282</v>
      </c>
      <c r="C66" s="29" t="s">
        <v>462</v>
      </c>
      <c r="D66" s="29" t="s">
        <v>384</v>
      </c>
      <c r="E66" s="42" t="s">
        <v>32</v>
      </c>
      <c r="F66" s="27" t="s">
        <v>12</v>
      </c>
      <c r="G66" s="27"/>
      <c r="H66" s="27" t="s">
        <v>3</v>
      </c>
      <c r="I66" s="27"/>
      <c r="J66" s="27" t="s">
        <v>15</v>
      </c>
      <c r="K66" s="27"/>
      <c r="L66" s="27" t="s">
        <v>16</v>
      </c>
      <c r="M66" s="27"/>
      <c r="N66" s="27" t="s">
        <v>17</v>
      </c>
      <c r="O66" s="27"/>
      <c r="P66" s="27" t="s">
        <v>16</v>
      </c>
      <c r="Q66" s="27"/>
      <c r="R66" s="31" t="s">
        <v>65</v>
      </c>
      <c r="S66" s="27"/>
      <c r="T66" s="31" t="s">
        <v>15</v>
      </c>
      <c r="U66" s="27"/>
      <c r="V66" s="28">
        <f>IF($AV66,"INCOMPLETE", IF(AT66&lt;0,0,AT66))</f>
        <v>8.3000000000000007</v>
      </c>
      <c r="W66" s="34" t="s">
        <v>496</v>
      </c>
      <c r="X66" s="50" t="s">
        <v>285</v>
      </c>
      <c r="Y66" s="40"/>
      <c r="Z66" s="40"/>
      <c r="AA66">
        <f t="shared" si="19"/>
        <v>0.39500000000000002</v>
      </c>
      <c r="AB66">
        <f t="shared" si="20"/>
        <v>0.71</v>
      </c>
      <c r="AC66">
        <f t="shared" si="21"/>
        <v>0.70399999999999996</v>
      </c>
      <c r="AD66">
        <f t="shared" si="22"/>
        <v>0.27500000000000002</v>
      </c>
      <c r="AE66">
        <f t="shared" si="23"/>
        <v>0.66</v>
      </c>
      <c r="AF66">
        <f t="shared" si="24"/>
        <v>0.27500000000000002</v>
      </c>
      <c r="AG66">
        <f t="shared" si="25"/>
        <v>6.1</v>
      </c>
      <c r="AH66">
        <f t="shared" si="26"/>
        <v>0.4</v>
      </c>
      <c r="AI66">
        <f t="shared" si="27"/>
        <v>0</v>
      </c>
      <c r="AJ66">
        <f>IF( $AV66=FALSE,VLOOKUP(Properties!$B$4, Confidentiality_Requirement,3,FALSE),0)</f>
        <v>1.51</v>
      </c>
      <c r="AK66">
        <f>IF( $AV66=FALSE,VLOOKUP(Properties!$B$5, Integrity_Requirement,3,FALSE),0)</f>
        <v>1.51</v>
      </c>
      <c r="AL66">
        <f>IF( $AV66=FALSE,VLOOKUP(Properties!$B$6, Availability_Requirement,3,FALSE),0)</f>
        <v>1.51</v>
      </c>
      <c r="AM66" s="14">
        <f t="shared" si="28"/>
        <v>8.5496028750000015</v>
      </c>
      <c r="AN66" s="14">
        <f t="shared" si="29"/>
        <v>3.9487359999999998</v>
      </c>
      <c r="AO66" s="4">
        <f t="shared" si="30"/>
        <v>1.1759999999999999</v>
      </c>
      <c r="AP66" s="15">
        <f t="shared" si="31"/>
        <v>10</v>
      </c>
      <c r="AQ66" s="15">
        <f t="shared" si="32"/>
        <v>7.1</v>
      </c>
      <c r="AR66" s="15">
        <f t="shared" si="33"/>
        <v>7.1</v>
      </c>
      <c r="AS66" s="15">
        <f t="shared" si="34"/>
        <v>8.3000000000000007</v>
      </c>
      <c r="AT66">
        <f t="shared" si="35"/>
        <v>8.3000000000000007</v>
      </c>
      <c r="AU66">
        <f t="shared" si="36"/>
        <v>8.3000000000000007</v>
      </c>
      <c r="AV66" t="b">
        <f t="shared" si="37"/>
        <v>0</v>
      </c>
    </row>
  </sheetData>
  <mergeCells count="18">
    <mergeCell ref="AA4:AD4"/>
    <mergeCell ref="AF4:AK4"/>
    <mergeCell ref="E4:E5"/>
    <mergeCell ref="T4:T5"/>
    <mergeCell ref="W4:W5"/>
    <mergeCell ref="V4:V5"/>
    <mergeCell ref="X4:X5"/>
    <mergeCell ref="F4:J4"/>
    <mergeCell ref="L4:P4"/>
    <mergeCell ref="W2:X3"/>
    <mergeCell ref="A2:E3"/>
    <mergeCell ref="A1:E1"/>
    <mergeCell ref="F1:X1"/>
    <mergeCell ref="A4:A5"/>
    <mergeCell ref="B4:B5"/>
    <mergeCell ref="C4:C5"/>
    <mergeCell ref="D4:D5"/>
    <mergeCell ref="F2:V3"/>
  </mergeCells>
  <conditionalFormatting sqref="V6">
    <cfRule type="cellIs" dxfId="557" priority="181" operator="equal">
      <formula>"INCOMPLETE"</formula>
    </cfRule>
  </conditionalFormatting>
  <conditionalFormatting sqref="V7">
    <cfRule type="cellIs" dxfId="556" priority="178" operator="equal">
      <formula>"INCOMPLETE"</formula>
    </cfRule>
  </conditionalFormatting>
  <conditionalFormatting sqref="V8">
    <cfRule type="cellIs" dxfId="555" priority="175" operator="equal">
      <formula>"INCOMPLETE"</formula>
    </cfRule>
  </conditionalFormatting>
  <conditionalFormatting sqref="V9">
    <cfRule type="cellIs" dxfId="554" priority="172" operator="equal">
      <formula>"INCOMPLETE"</formula>
    </cfRule>
  </conditionalFormatting>
  <conditionalFormatting sqref="V10">
    <cfRule type="cellIs" dxfId="553" priority="169" operator="equal">
      <formula>"INCOMPLETE"</formula>
    </cfRule>
  </conditionalFormatting>
  <conditionalFormatting sqref="V11">
    <cfRule type="cellIs" dxfId="552" priority="166" operator="equal">
      <formula>"INCOMPLETE"</formula>
    </cfRule>
  </conditionalFormatting>
  <conditionalFormatting sqref="V12">
    <cfRule type="cellIs" dxfId="551" priority="163" operator="equal">
      <formula>"INCOMPLETE"</formula>
    </cfRule>
  </conditionalFormatting>
  <conditionalFormatting sqref="V13">
    <cfRule type="cellIs" dxfId="550" priority="160" operator="equal">
      <formula>"INCOMPLETE"</formula>
    </cfRule>
  </conditionalFormatting>
  <conditionalFormatting sqref="V14">
    <cfRule type="cellIs" dxfId="549" priority="157" operator="equal">
      <formula>"INCOMPLETE"</formula>
    </cfRule>
  </conditionalFormatting>
  <conditionalFormatting sqref="V15">
    <cfRule type="cellIs" dxfId="548" priority="154" operator="equal">
      <formula>"INCOMPLETE"</formula>
    </cfRule>
  </conditionalFormatting>
  <conditionalFormatting sqref="V16">
    <cfRule type="cellIs" dxfId="547" priority="151" operator="equal">
      <formula>"INCOMPLETE"</formula>
    </cfRule>
  </conditionalFormatting>
  <conditionalFormatting sqref="V17">
    <cfRule type="cellIs" dxfId="546" priority="148" operator="equal">
      <formula>"INCOMPLETE"</formula>
    </cfRule>
  </conditionalFormatting>
  <conditionalFormatting sqref="V18">
    <cfRule type="cellIs" dxfId="545" priority="145" operator="equal">
      <formula>"INCOMPLETE"</formula>
    </cfRule>
  </conditionalFormatting>
  <conditionalFormatting sqref="V19">
    <cfRule type="cellIs" dxfId="544" priority="142" operator="equal">
      <formula>"INCOMPLETE"</formula>
    </cfRule>
  </conditionalFormatting>
  <conditionalFormatting sqref="V20">
    <cfRule type="cellIs" dxfId="543" priority="139" operator="equal">
      <formula>"INCOMPLETE"</formula>
    </cfRule>
  </conditionalFormatting>
  <conditionalFormatting sqref="V21">
    <cfRule type="cellIs" dxfId="542" priority="136" operator="equal">
      <formula>"INCOMPLETE"</formula>
    </cfRule>
  </conditionalFormatting>
  <conditionalFormatting sqref="V22">
    <cfRule type="cellIs" dxfId="541" priority="133" operator="equal">
      <formula>"INCOMPLETE"</formula>
    </cfRule>
  </conditionalFormatting>
  <conditionalFormatting sqref="V23">
    <cfRule type="cellIs" dxfId="540" priority="130" operator="equal">
      <formula>"INCOMPLETE"</formula>
    </cfRule>
  </conditionalFormatting>
  <conditionalFormatting sqref="V24">
    <cfRule type="cellIs" dxfId="539" priority="127" operator="equal">
      <formula>"INCOMPLETE"</formula>
    </cfRule>
  </conditionalFormatting>
  <conditionalFormatting sqref="V25">
    <cfRule type="cellIs" dxfId="538" priority="124" operator="equal">
      <formula>"INCOMPLETE"</formula>
    </cfRule>
  </conditionalFormatting>
  <conditionalFormatting sqref="V26">
    <cfRule type="cellIs" dxfId="537" priority="121" operator="equal">
      <formula>"INCOMPLETE"</formula>
    </cfRule>
  </conditionalFormatting>
  <conditionalFormatting sqref="V27">
    <cfRule type="cellIs" dxfId="536" priority="118" operator="equal">
      <formula>"INCOMPLETE"</formula>
    </cfRule>
  </conditionalFormatting>
  <conditionalFormatting sqref="V28">
    <cfRule type="cellIs" dxfId="535" priority="115" operator="equal">
      <formula>"INCOMPLETE"</formula>
    </cfRule>
  </conditionalFormatting>
  <conditionalFormatting sqref="V29">
    <cfRule type="cellIs" dxfId="534" priority="112" operator="equal">
      <formula>"INCOMPLETE"</formula>
    </cfRule>
  </conditionalFormatting>
  <conditionalFormatting sqref="V30">
    <cfRule type="cellIs" dxfId="533" priority="109" operator="equal">
      <formula>"INCOMPLETE"</formula>
    </cfRule>
  </conditionalFormatting>
  <conditionalFormatting sqref="V31">
    <cfRule type="cellIs" dxfId="532" priority="106" operator="equal">
      <formula>"INCOMPLETE"</formula>
    </cfRule>
  </conditionalFormatting>
  <conditionalFormatting sqref="V32">
    <cfRule type="cellIs" dxfId="531" priority="103" operator="equal">
      <formula>"INCOMPLETE"</formula>
    </cfRule>
  </conditionalFormatting>
  <conditionalFormatting sqref="V33">
    <cfRule type="cellIs" dxfId="530" priority="100" operator="equal">
      <formula>"INCOMPLETE"</formula>
    </cfRule>
  </conditionalFormatting>
  <conditionalFormatting sqref="V34">
    <cfRule type="cellIs" dxfId="529" priority="97" operator="equal">
      <formula>"INCOMPLETE"</formula>
    </cfRule>
  </conditionalFormatting>
  <conditionalFormatting sqref="V35">
    <cfRule type="cellIs" dxfId="528" priority="94" operator="equal">
      <formula>"INCOMPLETE"</formula>
    </cfRule>
  </conditionalFormatting>
  <conditionalFormatting sqref="V36">
    <cfRule type="cellIs" dxfId="527" priority="91" operator="equal">
      <formula>"INCOMPLETE"</formula>
    </cfRule>
  </conditionalFormatting>
  <conditionalFormatting sqref="V37">
    <cfRule type="cellIs" dxfId="526" priority="88" operator="equal">
      <formula>"INCOMPLETE"</formula>
    </cfRule>
  </conditionalFormatting>
  <conditionalFormatting sqref="V38">
    <cfRule type="cellIs" dxfId="525" priority="85" operator="equal">
      <formula>"INCOMPLETE"</formula>
    </cfRule>
  </conditionalFormatting>
  <conditionalFormatting sqref="V39">
    <cfRule type="cellIs" dxfId="524" priority="82" operator="equal">
      <formula>"INCOMPLETE"</formula>
    </cfRule>
  </conditionalFormatting>
  <conditionalFormatting sqref="V40">
    <cfRule type="cellIs" dxfId="523" priority="79" operator="equal">
      <formula>"INCOMPLETE"</formula>
    </cfRule>
  </conditionalFormatting>
  <conditionalFormatting sqref="V41">
    <cfRule type="cellIs" dxfId="522" priority="76" operator="equal">
      <formula>"INCOMPLETE"</formula>
    </cfRule>
  </conditionalFormatting>
  <conditionalFormatting sqref="V42">
    <cfRule type="cellIs" dxfId="521" priority="73" operator="equal">
      <formula>"INCOMPLETE"</formula>
    </cfRule>
  </conditionalFormatting>
  <conditionalFormatting sqref="V43">
    <cfRule type="cellIs" dxfId="520" priority="70" operator="equal">
      <formula>"INCOMPLETE"</formula>
    </cfRule>
  </conditionalFormatting>
  <conditionalFormatting sqref="V44">
    <cfRule type="cellIs" dxfId="519" priority="67" operator="equal">
      <formula>"INCOMPLETE"</formula>
    </cfRule>
  </conditionalFormatting>
  <conditionalFormatting sqref="V45">
    <cfRule type="cellIs" dxfId="518" priority="64" operator="equal">
      <formula>"INCOMPLETE"</formula>
    </cfRule>
  </conditionalFormatting>
  <conditionalFormatting sqref="V46">
    <cfRule type="cellIs" dxfId="517" priority="61" operator="equal">
      <formula>"INCOMPLETE"</formula>
    </cfRule>
  </conditionalFormatting>
  <conditionalFormatting sqref="V47">
    <cfRule type="cellIs" dxfId="516" priority="58" operator="equal">
      <formula>"INCOMPLETE"</formula>
    </cfRule>
  </conditionalFormatting>
  <conditionalFormatting sqref="V48">
    <cfRule type="cellIs" dxfId="515" priority="55" operator="equal">
      <formula>"INCOMPLETE"</formula>
    </cfRule>
  </conditionalFormatting>
  <conditionalFormatting sqref="V49">
    <cfRule type="cellIs" dxfId="514" priority="52" operator="equal">
      <formula>"INCOMPLETE"</formula>
    </cfRule>
  </conditionalFormatting>
  <conditionalFormatting sqref="V50">
    <cfRule type="cellIs" dxfId="513" priority="49" operator="equal">
      <formula>"INCOMPLETE"</formula>
    </cfRule>
  </conditionalFormatting>
  <conditionalFormatting sqref="V51">
    <cfRule type="cellIs" dxfId="512" priority="46" operator="equal">
      <formula>"INCOMPLETE"</formula>
    </cfRule>
  </conditionalFormatting>
  <conditionalFormatting sqref="V52">
    <cfRule type="cellIs" dxfId="511" priority="43" operator="equal">
      <formula>"INCOMPLETE"</formula>
    </cfRule>
  </conditionalFormatting>
  <conditionalFormatting sqref="V53">
    <cfRule type="cellIs" dxfId="510" priority="40" operator="equal">
      <formula>"INCOMPLETE"</formula>
    </cfRule>
  </conditionalFormatting>
  <conditionalFormatting sqref="V54">
    <cfRule type="cellIs" dxfId="509" priority="37" operator="equal">
      <formula>"INCOMPLETE"</formula>
    </cfRule>
  </conditionalFormatting>
  <conditionalFormatting sqref="V55">
    <cfRule type="cellIs" dxfId="508" priority="34" operator="equal">
      <formula>"INCOMPLETE"</formula>
    </cfRule>
  </conditionalFormatting>
  <conditionalFormatting sqref="V56">
    <cfRule type="cellIs" dxfId="507" priority="31" operator="equal">
      <formula>"INCOMPLETE"</formula>
    </cfRule>
  </conditionalFormatting>
  <conditionalFormatting sqref="V57">
    <cfRule type="cellIs" dxfId="506" priority="28" operator="equal">
      <formula>"INCOMPLETE"</formula>
    </cfRule>
  </conditionalFormatting>
  <conditionalFormatting sqref="V58">
    <cfRule type="cellIs" dxfId="505" priority="25" operator="equal">
      <formula>"INCOMPLETE"</formula>
    </cfRule>
  </conditionalFormatting>
  <conditionalFormatting sqref="V59">
    <cfRule type="cellIs" dxfId="504" priority="22" operator="equal">
      <formula>"INCOMPLETE"</formula>
    </cfRule>
  </conditionalFormatting>
  <conditionalFormatting sqref="V60">
    <cfRule type="cellIs" dxfId="503" priority="19" operator="equal">
      <formula>"INCOMPLETE"</formula>
    </cfRule>
  </conditionalFormatting>
  <conditionalFormatting sqref="V61">
    <cfRule type="cellIs" dxfId="502" priority="16" operator="equal">
      <formula>"INCOMPLETE"</formula>
    </cfRule>
  </conditionalFormatting>
  <conditionalFormatting sqref="V62">
    <cfRule type="cellIs" dxfId="501" priority="13" operator="equal">
      <formula>"INCOMPLETE"</formula>
    </cfRule>
  </conditionalFormatting>
  <conditionalFormatting sqref="V63">
    <cfRule type="cellIs" dxfId="500" priority="10" operator="equal">
      <formula>"INCOMPLETE"</formula>
    </cfRule>
  </conditionalFormatting>
  <conditionalFormatting sqref="V64">
    <cfRule type="cellIs" dxfId="499" priority="7" operator="equal">
      <formula>"INCOMPLETE"</formula>
    </cfRule>
  </conditionalFormatting>
  <conditionalFormatting sqref="V65">
    <cfRule type="cellIs" dxfId="498" priority="4" operator="equal">
      <formula>"INCOMPLETE"</formula>
    </cfRule>
  </conditionalFormatting>
  <conditionalFormatting sqref="V66">
    <cfRule type="cellIs" dxfId="497" priority="1" operator="equal">
      <formula>"INCOMPLETE"</formula>
    </cfRule>
  </conditionalFormatting>
  <dataValidations xWindow="1800" yWindow="915" count="10">
    <dataValidation showDropDown="1" showInputMessage="1" showErrorMessage="1" sqref="AI3"/>
    <dataValidation type="list" allowBlank="1" showErrorMessage="1" sqref="E6:E66">
      <formula1>ImpactsSafetyEfficacyValues</formula1>
    </dataValidation>
    <dataValidation type="list" allowBlank="1" showErrorMessage="1" sqref="T6:T66">
      <formula1>AwarenessValues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nge" sqref="F6:F66">
      <formula1>AccessVectorValues</formula1>
    </dataValidation>
    <dataValidation type="list" allowBlank="1" showInputMessage="1" showErrorMessage="1" prompt="This metric measures the complexity of the attack required to exploit the vulnerability." sqref="H6:H66">
      <formula1>AccessComplexityValues</formula1>
    </dataValidation>
    <dataValidation type="list" allowBlank="1" showInputMessage="1" showErrorMessage="1" prompt="This metric gauges the strength of the authentication process used to exploit the vulnerability" sqref="J6:J66">
      <formula1>AuthenticationValues</formula1>
    </dataValidation>
    <dataValidation type="list" allowBlank="1" showInputMessage="1" showErrorMessage="1" prompt="This metric measures the impact on confidentiality of a successfully exploited vulnerability." sqref="L6:L66">
      <formula1>ConfidentialityImpactValues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N66">
      <formula1>IntegrityImpactValues</formula1>
    </dataValidation>
    <dataValidation type="list" allowBlank="1" showInputMessage="1" showErrorMessage="1" prompt="This metric measures the impact to availability of the system in light of a successful threat." sqref="P6:P66">
      <formula1>AvailabilityImpactValues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R66">
      <formula1>CollateralDamagePotentialValues</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82" operator="lessThanOrEqual" id="{A017119F-7444-4001-9544-A62EE95AAC42}">
            <xm:f>Properties!$B$7</xm:f>
            <x14:dxf>
              <fill>
                <patternFill>
                  <bgColor rgb="FF92D050"/>
                </patternFill>
              </fill>
            </x14:dxf>
          </x14:cfRule>
          <x14:cfRule type="cellIs" priority="183" operator="greaterThanOrEqual" id="{D098DEAB-5E60-45C3-849B-A03BFA5B267C}">
            <xm:f>Properties!$B$7</xm:f>
            <x14:dxf>
              <fill>
                <patternFill>
                  <bgColor rgb="FFFF0000"/>
                </patternFill>
              </fill>
            </x14:dxf>
          </x14:cfRule>
          <xm:sqref>V6</xm:sqref>
        </x14:conditionalFormatting>
        <x14:conditionalFormatting xmlns:xm="http://schemas.microsoft.com/office/excel/2006/main">
          <x14:cfRule type="cellIs" priority="179" operator="lessThanOrEqual" id="{646C72BA-6258-499F-A040-E6D43D9C2A6C}">
            <xm:f>Properties!$B$7</xm:f>
            <x14:dxf>
              <fill>
                <patternFill>
                  <bgColor rgb="FF92D050"/>
                </patternFill>
              </fill>
            </x14:dxf>
          </x14:cfRule>
          <x14:cfRule type="cellIs" priority="180" operator="greaterThanOrEqual" id="{8A76949C-545D-4262-935B-E6F2A85B2DB0}">
            <xm:f>Properties!$B$7</xm:f>
            <x14:dxf>
              <fill>
                <patternFill>
                  <bgColor rgb="FFFF0000"/>
                </patternFill>
              </fill>
            </x14:dxf>
          </x14:cfRule>
          <xm:sqref>V7</xm:sqref>
        </x14:conditionalFormatting>
        <x14:conditionalFormatting xmlns:xm="http://schemas.microsoft.com/office/excel/2006/main">
          <x14:cfRule type="cellIs" priority="176" operator="lessThanOrEqual" id="{0D435128-5E2E-4639-AA15-057FDDC52E5B}">
            <xm:f>Properties!$B$7</xm:f>
            <x14:dxf>
              <fill>
                <patternFill>
                  <bgColor rgb="FF92D050"/>
                </patternFill>
              </fill>
            </x14:dxf>
          </x14:cfRule>
          <x14:cfRule type="cellIs" priority="177" operator="greaterThanOrEqual" id="{38939F6D-87ED-4C0A-9782-38381CA0DD1A}">
            <xm:f>Properties!$B$7</xm:f>
            <x14:dxf>
              <fill>
                <patternFill>
                  <bgColor rgb="FFFF0000"/>
                </patternFill>
              </fill>
            </x14:dxf>
          </x14:cfRule>
          <xm:sqref>V8</xm:sqref>
        </x14:conditionalFormatting>
        <x14:conditionalFormatting xmlns:xm="http://schemas.microsoft.com/office/excel/2006/main">
          <x14:cfRule type="cellIs" priority="173" operator="lessThanOrEqual" id="{94BB9E3F-006B-46C5-886B-CB3BE6387854}">
            <xm:f>Properties!$B$7</xm:f>
            <x14:dxf>
              <fill>
                <patternFill>
                  <bgColor rgb="FF92D050"/>
                </patternFill>
              </fill>
            </x14:dxf>
          </x14:cfRule>
          <x14:cfRule type="cellIs" priority="174" operator="greaterThanOrEqual" id="{5E03728E-70C9-42FE-B47D-4322513916AD}">
            <xm:f>Properties!$B$7</xm:f>
            <x14:dxf>
              <fill>
                <patternFill>
                  <bgColor rgb="FFFF0000"/>
                </patternFill>
              </fill>
            </x14:dxf>
          </x14:cfRule>
          <xm:sqref>V9</xm:sqref>
        </x14:conditionalFormatting>
        <x14:conditionalFormatting xmlns:xm="http://schemas.microsoft.com/office/excel/2006/main">
          <x14:cfRule type="cellIs" priority="170" operator="lessThanOrEqual" id="{04F3DADA-F581-4F88-B10D-F2BD74334799}">
            <xm:f>Properties!$B$7</xm:f>
            <x14:dxf>
              <fill>
                <patternFill>
                  <bgColor rgb="FF92D050"/>
                </patternFill>
              </fill>
            </x14:dxf>
          </x14:cfRule>
          <x14:cfRule type="cellIs" priority="171" operator="greaterThanOrEqual" id="{9B629B7A-CA3D-4B6E-99FC-53B088EDC09A}">
            <xm:f>Properties!$B$7</xm:f>
            <x14:dxf>
              <fill>
                <patternFill>
                  <bgColor rgb="FFFF0000"/>
                </patternFill>
              </fill>
            </x14:dxf>
          </x14:cfRule>
          <xm:sqref>V10</xm:sqref>
        </x14:conditionalFormatting>
        <x14:conditionalFormatting xmlns:xm="http://schemas.microsoft.com/office/excel/2006/main">
          <x14:cfRule type="cellIs" priority="167" operator="lessThanOrEqual" id="{41752D65-71D1-46AF-B901-FE5125E8300F}">
            <xm:f>Properties!$B$7</xm:f>
            <x14:dxf>
              <fill>
                <patternFill>
                  <bgColor rgb="FF92D050"/>
                </patternFill>
              </fill>
            </x14:dxf>
          </x14:cfRule>
          <x14:cfRule type="cellIs" priority="168" operator="greaterThanOrEqual" id="{6A6EC0B1-7CD8-449F-87D8-289D07AD2C46}">
            <xm:f>Properties!$B$7</xm:f>
            <x14:dxf>
              <fill>
                <patternFill>
                  <bgColor rgb="FFFF0000"/>
                </patternFill>
              </fill>
            </x14:dxf>
          </x14:cfRule>
          <xm:sqref>V11</xm:sqref>
        </x14:conditionalFormatting>
        <x14:conditionalFormatting xmlns:xm="http://schemas.microsoft.com/office/excel/2006/main">
          <x14:cfRule type="cellIs" priority="164" operator="lessThanOrEqual" id="{8D29B9DB-E68A-47A9-8BFD-C94664A5FC83}">
            <xm:f>Properties!$B$7</xm:f>
            <x14:dxf>
              <fill>
                <patternFill>
                  <bgColor rgb="FF92D050"/>
                </patternFill>
              </fill>
            </x14:dxf>
          </x14:cfRule>
          <x14:cfRule type="cellIs" priority="165" operator="greaterThanOrEqual" id="{BA1D92DF-39FD-40FD-B292-397FE0E9C338}">
            <xm:f>Properties!$B$7</xm:f>
            <x14:dxf>
              <fill>
                <patternFill>
                  <bgColor rgb="FFFF0000"/>
                </patternFill>
              </fill>
            </x14:dxf>
          </x14:cfRule>
          <xm:sqref>V12</xm:sqref>
        </x14:conditionalFormatting>
        <x14:conditionalFormatting xmlns:xm="http://schemas.microsoft.com/office/excel/2006/main">
          <x14:cfRule type="cellIs" priority="161" operator="lessThanOrEqual" id="{2A543CA7-927F-4E64-9D6F-5F5D8C5D2D11}">
            <xm:f>Properties!$B$7</xm:f>
            <x14:dxf>
              <fill>
                <patternFill>
                  <bgColor rgb="FF92D050"/>
                </patternFill>
              </fill>
            </x14:dxf>
          </x14:cfRule>
          <x14:cfRule type="cellIs" priority="162" operator="greaterThanOrEqual" id="{F91EDD22-9C4F-4343-A7A7-D57C3959EA68}">
            <xm:f>Properties!$B$7</xm:f>
            <x14:dxf>
              <fill>
                <patternFill>
                  <bgColor rgb="FFFF0000"/>
                </patternFill>
              </fill>
            </x14:dxf>
          </x14:cfRule>
          <xm:sqref>V13</xm:sqref>
        </x14:conditionalFormatting>
        <x14:conditionalFormatting xmlns:xm="http://schemas.microsoft.com/office/excel/2006/main">
          <x14:cfRule type="cellIs" priority="158" operator="lessThanOrEqual" id="{A7F42E8F-0D7D-43F8-9F2C-FB388FF3B9B3}">
            <xm:f>Properties!$B$7</xm:f>
            <x14:dxf>
              <fill>
                <patternFill>
                  <bgColor rgb="FF92D050"/>
                </patternFill>
              </fill>
            </x14:dxf>
          </x14:cfRule>
          <x14:cfRule type="cellIs" priority="159" operator="greaterThanOrEqual" id="{9DB32AB7-61AF-4521-9392-0B9BD5124C3F}">
            <xm:f>Properties!$B$7</xm:f>
            <x14:dxf>
              <fill>
                <patternFill>
                  <bgColor rgb="FFFF0000"/>
                </patternFill>
              </fill>
            </x14:dxf>
          </x14:cfRule>
          <xm:sqref>V14</xm:sqref>
        </x14:conditionalFormatting>
        <x14:conditionalFormatting xmlns:xm="http://schemas.microsoft.com/office/excel/2006/main">
          <x14:cfRule type="cellIs" priority="155" operator="lessThanOrEqual" id="{3F7F66BB-6DE7-4A1E-AD0F-66AE84BBD1CB}">
            <xm:f>Properties!$B$7</xm:f>
            <x14:dxf>
              <fill>
                <patternFill>
                  <bgColor rgb="FF92D050"/>
                </patternFill>
              </fill>
            </x14:dxf>
          </x14:cfRule>
          <x14:cfRule type="cellIs" priority="156" operator="greaterThanOrEqual" id="{ECF753CA-9D92-4C1E-B355-B220CD2F1380}">
            <xm:f>Properties!$B$7</xm:f>
            <x14:dxf>
              <fill>
                <patternFill>
                  <bgColor rgb="FFFF0000"/>
                </patternFill>
              </fill>
            </x14:dxf>
          </x14:cfRule>
          <xm:sqref>V15</xm:sqref>
        </x14:conditionalFormatting>
        <x14:conditionalFormatting xmlns:xm="http://schemas.microsoft.com/office/excel/2006/main">
          <x14:cfRule type="cellIs" priority="152" operator="lessThanOrEqual" id="{FA14F334-85D8-46BB-BD36-73CD64553AC5}">
            <xm:f>Properties!$B$7</xm:f>
            <x14:dxf>
              <fill>
                <patternFill>
                  <bgColor rgb="FF92D050"/>
                </patternFill>
              </fill>
            </x14:dxf>
          </x14:cfRule>
          <x14:cfRule type="cellIs" priority="153" operator="greaterThanOrEqual" id="{0F421F0A-3244-4FC3-99A1-96AEFC65943B}">
            <xm:f>Properties!$B$7</xm:f>
            <x14:dxf>
              <fill>
                <patternFill>
                  <bgColor rgb="FFFF0000"/>
                </patternFill>
              </fill>
            </x14:dxf>
          </x14:cfRule>
          <xm:sqref>V16</xm:sqref>
        </x14:conditionalFormatting>
        <x14:conditionalFormatting xmlns:xm="http://schemas.microsoft.com/office/excel/2006/main">
          <x14:cfRule type="cellIs" priority="149" operator="lessThanOrEqual" id="{8AA6C7C0-D22C-484B-A80E-F53F14F33090}">
            <xm:f>Properties!$B$7</xm:f>
            <x14:dxf>
              <fill>
                <patternFill>
                  <bgColor rgb="FF92D050"/>
                </patternFill>
              </fill>
            </x14:dxf>
          </x14:cfRule>
          <x14:cfRule type="cellIs" priority="150" operator="greaterThanOrEqual" id="{C6851206-72E7-495E-A924-060266F84FF2}">
            <xm:f>Properties!$B$7</xm:f>
            <x14:dxf>
              <fill>
                <patternFill>
                  <bgColor rgb="FFFF0000"/>
                </patternFill>
              </fill>
            </x14:dxf>
          </x14:cfRule>
          <xm:sqref>V17</xm:sqref>
        </x14:conditionalFormatting>
        <x14:conditionalFormatting xmlns:xm="http://schemas.microsoft.com/office/excel/2006/main">
          <x14:cfRule type="cellIs" priority="146" operator="lessThanOrEqual" id="{57611731-CF64-4849-887A-3F599BAD65EC}">
            <xm:f>Properties!$B$7</xm:f>
            <x14:dxf>
              <fill>
                <patternFill>
                  <bgColor rgb="FF92D050"/>
                </patternFill>
              </fill>
            </x14:dxf>
          </x14:cfRule>
          <x14:cfRule type="cellIs" priority="147" operator="greaterThanOrEqual" id="{4DDFB825-DCCC-4461-AFBC-B5E2CA557956}">
            <xm:f>Properties!$B$7</xm:f>
            <x14:dxf>
              <fill>
                <patternFill>
                  <bgColor rgb="FFFF0000"/>
                </patternFill>
              </fill>
            </x14:dxf>
          </x14:cfRule>
          <xm:sqref>V18</xm:sqref>
        </x14:conditionalFormatting>
        <x14:conditionalFormatting xmlns:xm="http://schemas.microsoft.com/office/excel/2006/main">
          <x14:cfRule type="cellIs" priority="143" operator="lessThanOrEqual" id="{883A3881-3978-4348-B629-6202EC7D6080}">
            <xm:f>Properties!$B$7</xm:f>
            <x14:dxf>
              <fill>
                <patternFill>
                  <bgColor rgb="FF92D050"/>
                </patternFill>
              </fill>
            </x14:dxf>
          </x14:cfRule>
          <x14:cfRule type="cellIs" priority="144" operator="greaterThanOrEqual" id="{4A988EED-0E24-4431-8911-2773DF32FF26}">
            <xm:f>Properties!$B$7</xm:f>
            <x14:dxf>
              <fill>
                <patternFill>
                  <bgColor rgb="FFFF0000"/>
                </patternFill>
              </fill>
            </x14:dxf>
          </x14:cfRule>
          <xm:sqref>V19</xm:sqref>
        </x14:conditionalFormatting>
        <x14:conditionalFormatting xmlns:xm="http://schemas.microsoft.com/office/excel/2006/main">
          <x14:cfRule type="cellIs" priority="140" operator="lessThanOrEqual" id="{5C0F7634-CC44-4F36-840C-22B1965C2A58}">
            <xm:f>Properties!$B$7</xm:f>
            <x14:dxf>
              <fill>
                <patternFill>
                  <bgColor rgb="FF92D050"/>
                </patternFill>
              </fill>
            </x14:dxf>
          </x14:cfRule>
          <x14:cfRule type="cellIs" priority="141" operator="greaterThanOrEqual" id="{7720C788-28CC-44F6-A651-F267DD616363}">
            <xm:f>Properties!$B$7</xm:f>
            <x14:dxf>
              <fill>
                <patternFill>
                  <bgColor rgb="FFFF0000"/>
                </patternFill>
              </fill>
            </x14:dxf>
          </x14:cfRule>
          <xm:sqref>V20</xm:sqref>
        </x14:conditionalFormatting>
        <x14:conditionalFormatting xmlns:xm="http://schemas.microsoft.com/office/excel/2006/main">
          <x14:cfRule type="cellIs" priority="137" operator="lessThanOrEqual" id="{6BC59A0A-9DD4-4479-9CC2-3264EE860BAB}">
            <xm:f>Properties!$B$7</xm:f>
            <x14:dxf>
              <fill>
                <patternFill>
                  <bgColor rgb="FF92D050"/>
                </patternFill>
              </fill>
            </x14:dxf>
          </x14:cfRule>
          <x14:cfRule type="cellIs" priority="138" operator="greaterThanOrEqual" id="{7F0E21DB-DBF7-435E-8C0C-2761A11B6B1E}">
            <xm:f>Properties!$B$7</xm:f>
            <x14:dxf>
              <fill>
                <patternFill>
                  <bgColor rgb="FFFF0000"/>
                </patternFill>
              </fill>
            </x14:dxf>
          </x14:cfRule>
          <xm:sqref>V21</xm:sqref>
        </x14:conditionalFormatting>
        <x14:conditionalFormatting xmlns:xm="http://schemas.microsoft.com/office/excel/2006/main">
          <x14:cfRule type="cellIs" priority="134" operator="lessThanOrEqual" id="{7C863AF3-8DE0-4ED7-98E5-AF7493F1FB29}">
            <xm:f>Properties!$B$7</xm:f>
            <x14:dxf>
              <fill>
                <patternFill>
                  <bgColor rgb="FF92D050"/>
                </patternFill>
              </fill>
            </x14:dxf>
          </x14:cfRule>
          <x14:cfRule type="cellIs" priority="135" operator="greaterThanOrEqual" id="{CBE07FB7-A5C6-4D6D-8692-E30DBB958363}">
            <xm:f>Properties!$B$7</xm:f>
            <x14:dxf>
              <fill>
                <patternFill>
                  <bgColor rgb="FFFF0000"/>
                </patternFill>
              </fill>
            </x14:dxf>
          </x14:cfRule>
          <xm:sqref>V22</xm:sqref>
        </x14:conditionalFormatting>
        <x14:conditionalFormatting xmlns:xm="http://schemas.microsoft.com/office/excel/2006/main">
          <x14:cfRule type="cellIs" priority="131" operator="lessThanOrEqual" id="{4330FC21-2AE1-4FB7-AE9D-E00F3C68EB57}">
            <xm:f>Properties!$B$7</xm:f>
            <x14:dxf>
              <fill>
                <patternFill>
                  <bgColor rgb="FF92D050"/>
                </patternFill>
              </fill>
            </x14:dxf>
          </x14:cfRule>
          <x14:cfRule type="cellIs" priority="132" operator="greaterThanOrEqual" id="{D813DF5D-88D3-44B0-9BFD-633AD7CA3D42}">
            <xm:f>Properties!$B$7</xm:f>
            <x14:dxf>
              <fill>
                <patternFill>
                  <bgColor rgb="FFFF0000"/>
                </patternFill>
              </fill>
            </x14:dxf>
          </x14:cfRule>
          <xm:sqref>V23</xm:sqref>
        </x14:conditionalFormatting>
        <x14:conditionalFormatting xmlns:xm="http://schemas.microsoft.com/office/excel/2006/main">
          <x14:cfRule type="cellIs" priority="128" operator="lessThanOrEqual" id="{E55742A1-0B25-4117-9294-CC67B19CDDFC}">
            <xm:f>Properties!$B$7</xm:f>
            <x14:dxf>
              <fill>
                <patternFill>
                  <bgColor rgb="FF92D050"/>
                </patternFill>
              </fill>
            </x14:dxf>
          </x14:cfRule>
          <x14:cfRule type="cellIs" priority="129" operator="greaterThanOrEqual" id="{E07B4E5D-9197-469D-A979-6F2D7749E779}">
            <xm:f>Properties!$B$7</xm:f>
            <x14:dxf>
              <fill>
                <patternFill>
                  <bgColor rgb="FFFF0000"/>
                </patternFill>
              </fill>
            </x14:dxf>
          </x14:cfRule>
          <xm:sqref>V24</xm:sqref>
        </x14:conditionalFormatting>
        <x14:conditionalFormatting xmlns:xm="http://schemas.microsoft.com/office/excel/2006/main">
          <x14:cfRule type="cellIs" priority="125" operator="lessThanOrEqual" id="{9B8ECB87-84C4-4B1C-B4EE-8C54B2951EB6}">
            <xm:f>Properties!$B$7</xm:f>
            <x14:dxf>
              <fill>
                <patternFill>
                  <bgColor rgb="FF92D050"/>
                </patternFill>
              </fill>
            </x14:dxf>
          </x14:cfRule>
          <x14:cfRule type="cellIs" priority="126" operator="greaterThanOrEqual" id="{74FE9DEE-D384-426B-B497-FEE87D1D42DF}">
            <xm:f>Properties!$B$7</xm:f>
            <x14:dxf>
              <fill>
                <patternFill>
                  <bgColor rgb="FFFF0000"/>
                </patternFill>
              </fill>
            </x14:dxf>
          </x14:cfRule>
          <xm:sqref>V25</xm:sqref>
        </x14:conditionalFormatting>
        <x14:conditionalFormatting xmlns:xm="http://schemas.microsoft.com/office/excel/2006/main">
          <x14:cfRule type="cellIs" priority="122" operator="lessThanOrEqual" id="{F1C69C88-344C-4C23-8B30-D69E0E2D61D9}">
            <xm:f>Properties!$B$7</xm:f>
            <x14:dxf>
              <fill>
                <patternFill>
                  <bgColor rgb="FF92D050"/>
                </patternFill>
              </fill>
            </x14:dxf>
          </x14:cfRule>
          <x14:cfRule type="cellIs" priority="123" operator="greaterThanOrEqual" id="{F356E018-8C82-4365-91D5-6CA659528E12}">
            <xm:f>Properties!$B$7</xm:f>
            <x14:dxf>
              <fill>
                <patternFill>
                  <bgColor rgb="FFFF0000"/>
                </patternFill>
              </fill>
            </x14:dxf>
          </x14:cfRule>
          <xm:sqref>V26</xm:sqref>
        </x14:conditionalFormatting>
        <x14:conditionalFormatting xmlns:xm="http://schemas.microsoft.com/office/excel/2006/main">
          <x14:cfRule type="cellIs" priority="119" operator="lessThanOrEqual" id="{8237F99D-4432-4B73-AD14-5236A0F454B0}">
            <xm:f>Properties!$B$7</xm:f>
            <x14:dxf>
              <fill>
                <patternFill>
                  <bgColor rgb="FF92D050"/>
                </patternFill>
              </fill>
            </x14:dxf>
          </x14:cfRule>
          <x14:cfRule type="cellIs" priority="120" operator="greaterThanOrEqual" id="{C2D75F5C-E317-4CF4-BC9B-792DCE8F8662}">
            <xm:f>Properties!$B$7</xm:f>
            <x14:dxf>
              <fill>
                <patternFill>
                  <bgColor rgb="FFFF0000"/>
                </patternFill>
              </fill>
            </x14:dxf>
          </x14:cfRule>
          <xm:sqref>V27</xm:sqref>
        </x14:conditionalFormatting>
        <x14:conditionalFormatting xmlns:xm="http://schemas.microsoft.com/office/excel/2006/main">
          <x14:cfRule type="cellIs" priority="116" operator="lessThanOrEqual" id="{296FC74B-0E67-491F-82BC-69AAAE1B11CB}">
            <xm:f>Properties!$B$7</xm:f>
            <x14:dxf>
              <fill>
                <patternFill>
                  <bgColor rgb="FF92D050"/>
                </patternFill>
              </fill>
            </x14:dxf>
          </x14:cfRule>
          <x14:cfRule type="cellIs" priority="117" operator="greaterThanOrEqual" id="{8B101434-0DD5-4E70-8D29-6BCE8F253534}">
            <xm:f>Properties!$B$7</xm:f>
            <x14:dxf>
              <fill>
                <patternFill>
                  <bgColor rgb="FFFF0000"/>
                </patternFill>
              </fill>
            </x14:dxf>
          </x14:cfRule>
          <xm:sqref>V28</xm:sqref>
        </x14:conditionalFormatting>
        <x14:conditionalFormatting xmlns:xm="http://schemas.microsoft.com/office/excel/2006/main">
          <x14:cfRule type="cellIs" priority="113" operator="lessThanOrEqual" id="{69A13773-F824-4A33-9554-BC35EB1EB715}">
            <xm:f>Properties!$B$7</xm:f>
            <x14:dxf>
              <fill>
                <patternFill>
                  <bgColor rgb="FF92D050"/>
                </patternFill>
              </fill>
            </x14:dxf>
          </x14:cfRule>
          <x14:cfRule type="cellIs" priority="114" operator="greaterThanOrEqual" id="{BAEF9BEF-2FDC-4936-950A-A51D81D94A06}">
            <xm:f>Properties!$B$7</xm:f>
            <x14:dxf>
              <fill>
                <patternFill>
                  <bgColor rgb="FFFF0000"/>
                </patternFill>
              </fill>
            </x14:dxf>
          </x14:cfRule>
          <xm:sqref>V29</xm:sqref>
        </x14:conditionalFormatting>
        <x14:conditionalFormatting xmlns:xm="http://schemas.microsoft.com/office/excel/2006/main">
          <x14:cfRule type="cellIs" priority="110" operator="lessThanOrEqual" id="{38A56645-9E5B-4D81-A720-2ADE86FA3301}">
            <xm:f>Properties!$B$7</xm:f>
            <x14:dxf>
              <fill>
                <patternFill>
                  <bgColor rgb="FF92D050"/>
                </patternFill>
              </fill>
            </x14:dxf>
          </x14:cfRule>
          <x14:cfRule type="cellIs" priority="111" operator="greaterThanOrEqual" id="{54405D75-6A1A-4696-88C7-5E8D4009E69C}">
            <xm:f>Properties!$B$7</xm:f>
            <x14:dxf>
              <fill>
                <patternFill>
                  <bgColor rgb="FFFF0000"/>
                </patternFill>
              </fill>
            </x14:dxf>
          </x14:cfRule>
          <xm:sqref>V30</xm:sqref>
        </x14:conditionalFormatting>
        <x14:conditionalFormatting xmlns:xm="http://schemas.microsoft.com/office/excel/2006/main">
          <x14:cfRule type="cellIs" priority="107" operator="lessThanOrEqual" id="{03A4D310-076E-4AAA-876F-2E12913CEFBC}">
            <xm:f>Properties!$B$7</xm:f>
            <x14:dxf>
              <fill>
                <patternFill>
                  <bgColor rgb="FF92D050"/>
                </patternFill>
              </fill>
            </x14:dxf>
          </x14:cfRule>
          <x14:cfRule type="cellIs" priority="108" operator="greaterThanOrEqual" id="{D2BC5214-7018-4CE9-A8B7-527FBB7A2D75}">
            <xm:f>Properties!$B$7</xm:f>
            <x14:dxf>
              <fill>
                <patternFill>
                  <bgColor rgb="FFFF0000"/>
                </patternFill>
              </fill>
            </x14:dxf>
          </x14:cfRule>
          <xm:sqref>V31</xm:sqref>
        </x14:conditionalFormatting>
        <x14:conditionalFormatting xmlns:xm="http://schemas.microsoft.com/office/excel/2006/main">
          <x14:cfRule type="cellIs" priority="104" operator="lessThanOrEqual" id="{C133C34C-B36D-41B8-882E-E52E02AA87EA}">
            <xm:f>Properties!$B$7</xm:f>
            <x14:dxf>
              <fill>
                <patternFill>
                  <bgColor rgb="FF92D050"/>
                </patternFill>
              </fill>
            </x14:dxf>
          </x14:cfRule>
          <x14:cfRule type="cellIs" priority="105" operator="greaterThanOrEqual" id="{7F9E7CC9-21D2-4D38-956D-072FBC3490B1}">
            <xm:f>Properties!$B$7</xm:f>
            <x14:dxf>
              <fill>
                <patternFill>
                  <bgColor rgb="FFFF0000"/>
                </patternFill>
              </fill>
            </x14:dxf>
          </x14:cfRule>
          <xm:sqref>V32</xm:sqref>
        </x14:conditionalFormatting>
        <x14:conditionalFormatting xmlns:xm="http://schemas.microsoft.com/office/excel/2006/main">
          <x14:cfRule type="cellIs" priority="101" operator="lessThanOrEqual" id="{AF19EEDD-2646-4261-8C64-0BDBFDB7F34E}">
            <xm:f>Properties!$B$7</xm:f>
            <x14:dxf>
              <fill>
                <patternFill>
                  <bgColor rgb="FF92D050"/>
                </patternFill>
              </fill>
            </x14:dxf>
          </x14:cfRule>
          <x14:cfRule type="cellIs" priority="102" operator="greaterThanOrEqual" id="{06904BD4-93C9-424F-BE00-80882E1ACE83}">
            <xm:f>Properties!$B$7</xm:f>
            <x14:dxf>
              <fill>
                <patternFill>
                  <bgColor rgb="FFFF0000"/>
                </patternFill>
              </fill>
            </x14:dxf>
          </x14:cfRule>
          <xm:sqref>V33</xm:sqref>
        </x14:conditionalFormatting>
        <x14:conditionalFormatting xmlns:xm="http://schemas.microsoft.com/office/excel/2006/main">
          <x14:cfRule type="cellIs" priority="98" operator="lessThanOrEqual" id="{7D06BA10-E670-4A3B-9B1E-55AF2D98D093}">
            <xm:f>Properties!$B$7</xm:f>
            <x14:dxf>
              <fill>
                <patternFill>
                  <bgColor rgb="FF92D050"/>
                </patternFill>
              </fill>
            </x14:dxf>
          </x14:cfRule>
          <x14:cfRule type="cellIs" priority="99" operator="greaterThanOrEqual" id="{D9837236-6ABA-4A7D-BDED-5294195CC09E}">
            <xm:f>Properties!$B$7</xm:f>
            <x14:dxf>
              <fill>
                <patternFill>
                  <bgColor rgb="FFFF0000"/>
                </patternFill>
              </fill>
            </x14:dxf>
          </x14:cfRule>
          <xm:sqref>V34</xm:sqref>
        </x14:conditionalFormatting>
        <x14:conditionalFormatting xmlns:xm="http://schemas.microsoft.com/office/excel/2006/main">
          <x14:cfRule type="cellIs" priority="95" operator="lessThanOrEqual" id="{97888656-5AFF-4A47-8A10-1AC5186B59C3}">
            <xm:f>Properties!$B$7</xm:f>
            <x14:dxf>
              <fill>
                <patternFill>
                  <bgColor rgb="FF92D050"/>
                </patternFill>
              </fill>
            </x14:dxf>
          </x14:cfRule>
          <x14:cfRule type="cellIs" priority="96" operator="greaterThanOrEqual" id="{2A963E6E-2470-4901-A995-44473A8F61E3}">
            <xm:f>Properties!$B$7</xm:f>
            <x14:dxf>
              <fill>
                <patternFill>
                  <bgColor rgb="FFFF0000"/>
                </patternFill>
              </fill>
            </x14:dxf>
          </x14:cfRule>
          <xm:sqref>V35</xm:sqref>
        </x14:conditionalFormatting>
        <x14:conditionalFormatting xmlns:xm="http://schemas.microsoft.com/office/excel/2006/main">
          <x14:cfRule type="cellIs" priority="92" operator="lessThanOrEqual" id="{FAB51716-450B-44F4-B711-B036BD0100AA}">
            <xm:f>Properties!$B$7</xm:f>
            <x14:dxf>
              <fill>
                <patternFill>
                  <bgColor rgb="FF92D050"/>
                </patternFill>
              </fill>
            </x14:dxf>
          </x14:cfRule>
          <x14:cfRule type="cellIs" priority="93" operator="greaterThanOrEqual" id="{782F3DE5-7D2E-4FF2-BEA9-F27AA5CC6DC4}">
            <xm:f>Properties!$B$7</xm:f>
            <x14:dxf>
              <fill>
                <patternFill>
                  <bgColor rgb="FFFF0000"/>
                </patternFill>
              </fill>
            </x14:dxf>
          </x14:cfRule>
          <xm:sqref>V36</xm:sqref>
        </x14:conditionalFormatting>
        <x14:conditionalFormatting xmlns:xm="http://schemas.microsoft.com/office/excel/2006/main">
          <x14:cfRule type="cellIs" priority="89" operator="lessThanOrEqual" id="{57ECF031-43D2-478E-8758-DDA0B99ABBEC}">
            <xm:f>Properties!$B$7</xm:f>
            <x14:dxf>
              <fill>
                <patternFill>
                  <bgColor rgb="FF92D050"/>
                </patternFill>
              </fill>
            </x14:dxf>
          </x14:cfRule>
          <x14:cfRule type="cellIs" priority="90" operator="greaterThanOrEqual" id="{994C4D66-FD47-4572-8C1B-304F5E82BE89}">
            <xm:f>Properties!$B$7</xm:f>
            <x14:dxf>
              <fill>
                <patternFill>
                  <bgColor rgb="FFFF0000"/>
                </patternFill>
              </fill>
            </x14:dxf>
          </x14:cfRule>
          <xm:sqref>V37</xm:sqref>
        </x14:conditionalFormatting>
        <x14:conditionalFormatting xmlns:xm="http://schemas.microsoft.com/office/excel/2006/main">
          <x14:cfRule type="cellIs" priority="86" operator="lessThanOrEqual" id="{9081CC05-5261-4897-B61D-69EB016E116A}">
            <xm:f>Properties!$B$7</xm:f>
            <x14:dxf>
              <fill>
                <patternFill>
                  <bgColor rgb="FF92D050"/>
                </patternFill>
              </fill>
            </x14:dxf>
          </x14:cfRule>
          <x14:cfRule type="cellIs" priority="87" operator="greaterThanOrEqual" id="{FDAAFBB9-314F-47A3-BDD4-B911FEF89D3C}">
            <xm:f>Properties!$B$7</xm:f>
            <x14:dxf>
              <fill>
                <patternFill>
                  <bgColor rgb="FFFF0000"/>
                </patternFill>
              </fill>
            </x14:dxf>
          </x14:cfRule>
          <xm:sqref>V38</xm:sqref>
        </x14:conditionalFormatting>
        <x14:conditionalFormatting xmlns:xm="http://schemas.microsoft.com/office/excel/2006/main">
          <x14:cfRule type="cellIs" priority="83" operator="lessThanOrEqual" id="{B04F363F-791A-4646-8A7E-4C1A54B1807B}">
            <xm:f>Properties!$B$7</xm:f>
            <x14:dxf>
              <fill>
                <patternFill>
                  <bgColor rgb="FF92D050"/>
                </patternFill>
              </fill>
            </x14:dxf>
          </x14:cfRule>
          <x14:cfRule type="cellIs" priority="84" operator="greaterThanOrEqual" id="{2364B9E1-4C3B-41F8-B27E-79B78BA6FF69}">
            <xm:f>Properties!$B$7</xm:f>
            <x14:dxf>
              <fill>
                <patternFill>
                  <bgColor rgb="FFFF0000"/>
                </patternFill>
              </fill>
            </x14:dxf>
          </x14:cfRule>
          <xm:sqref>V39</xm:sqref>
        </x14:conditionalFormatting>
        <x14:conditionalFormatting xmlns:xm="http://schemas.microsoft.com/office/excel/2006/main">
          <x14:cfRule type="cellIs" priority="80" operator="lessThanOrEqual" id="{3D3E26A5-0C0B-4783-A4A2-45FE67691FE8}">
            <xm:f>Properties!$B$7</xm:f>
            <x14:dxf>
              <fill>
                <patternFill>
                  <bgColor rgb="FF92D050"/>
                </patternFill>
              </fill>
            </x14:dxf>
          </x14:cfRule>
          <x14:cfRule type="cellIs" priority="81" operator="greaterThanOrEqual" id="{041648BD-9D33-4AC3-8F38-FEDB985F365A}">
            <xm:f>Properties!$B$7</xm:f>
            <x14:dxf>
              <fill>
                <patternFill>
                  <bgColor rgb="FFFF0000"/>
                </patternFill>
              </fill>
            </x14:dxf>
          </x14:cfRule>
          <xm:sqref>V40</xm:sqref>
        </x14:conditionalFormatting>
        <x14:conditionalFormatting xmlns:xm="http://schemas.microsoft.com/office/excel/2006/main">
          <x14:cfRule type="cellIs" priority="77" operator="lessThanOrEqual" id="{F6AC018B-8F8C-4437-8589-DA15AAAF076B}">
            <xm:f>Properties!$B$7</xm:f>
            <x14:dxf>
              <fill>
                <patternFill>
                  <bgColor rgb="FF92D050"/>
                </patternFill>
              </fill>
            </x14:dxf>
          </x14:cfRule>
          <x14:cfRule type="cellIs" priority="78" operator="greaterThanOrEqual" id="{4B75E5D9-C071-4B8A-859E-D30576054E27}">
            <xm:f>Properties!$B$7</xm:f>
            <x14:dxf>
              <fill>
                <patternFill>
                  <bgColor rgb="FFFF0000"/>
                </patternFill>
              </fill>
            </x14:dxf>
          </x14:cfRule>
          <xm:sqref>V41</xm:sqref>
        </x14:conditionalFormatting>
        <x14:conditionalFormatting xmlns:xm="http://schemas.microsoft.com/office/excel/2006/main">
          <x14:cfRule type="cellIs" priority="74" operator="lessThanOrEqual" id="{37A3C5F7-6616-40F5-9FA0-5576DB5DD42B}">
            <xm:f>Properties!$B$7</xm:f>
            <x14:dxf>
              <fill>
                <patternFill>
                  <bgColor rgb="FF92D050"/>
                </patternFill>
              </fill>
            </x14:dxf>
          </x14:cfRule>
          <x14:cfRule type="cellIs" priority="75" operator="greaterThanOrEqual" id="{CE098761-35F1-4CAC-B5DE-9FC143E6BDA4}">
            <xm:f>Properties!$B$7</xm:f>
            <x14:dxf>
              <fill>
                <patternFill>
                  <bgColor rgb="FFFF0000"/>
                </patternFill>
              </fill>
            </x14:dxf>
          </x14:cfRule>
          <xm:sqref>V42</xm:sqref>
        </x14:conditionalFormatting>
        <x14:conditionalFormatting xmlns:xm="http://schemas.microsoft.com/office/excel/2006/main">
          <x14:cfRule type="cellIs" priority="71" operator="lessThanOrEqual" id="{6351667F-CB10-4F1E-9648-8412987D83CE}">
            <xm:f>Properties!$B$7</xm:f>
            <x14:dxf>
              <fill>
                <patternFill>
                  <bgColor rgb="FF92D050"/>
                </patternFill>
              </fill>
            </x14:dxf>
          </x14:cfRule>
          <x14:cfRule type="cellIs" priority="72" operator="greaterThanOrEqual" id="{461CCB04-31A1-418C-B336-E6FBBF42EBEF}">
            <xm:f>Properties!$B$7</xm:f>
            <x14:dxf>
              <fill>
                <patternFill>
                  <bgColor rgb="FFFF0000"/>
                </patternFill>
              </fill>
            </x14:dxf>
          </x14:cfRule>
          <xm:sqref>V43</xm:sqref>
        </x14:conditionalFormatting>
        <x14:conditionalFormatting xmlns:xm="http://schemas.microsoft.com/office/excel/2006/main">
          <x14:cfRule type="cellIs" priority="68" operator="lessThanOrEqual" id="{DB31413C-5D37-492F-9F66-C638589293C0}">
            <xm:f>Properties!$B$7</xm:f>
            <x14:dxf>
              <fill>
                <patternFill>
                  <bgColor rgb="FF92D050"/>
                </patternFill>
              </fill>
            </x14:dxf>
          </x14:cfRule>
          <x14:cfRule type="cellIs" priority="69" operator="greaterThanOrEqual" id="{51128CA3-B90C-478E-87B5-D33A7BE818E1}">
            <xm:f>Properties!$B$7</xm:f>
            <x14:dxf>
              <fill>
                <patternFill>
                  <bgColor rgb="FFFF0000"/>
                </patternFill>
              </fill>
            </x14:dxf>
          </x14:cfRule>
          <xm:sqref>V44</xm:sqref>
        </x14:conditionalFormatting>
        <x14:conditionalFormatting xmlns:xm="http://schemas.microsoft.com/office/excel/2006/main">
          <x14:cfRule type="cellIs" priority="65" operator="lessThanOrEqual" id="{47803FDE-5AA7-4C61-BE44-08961EBC5612}">
            <xm:f>Properties!$B$7</xm:f>
            <x14:dxf>
              <fill>
                <patternFill>
                  <bgColor rgb="FF92D050"/>
                </patternFill>
              </fill>
            </x14:dxf>
          </x14:cfRule>
          <x14:cfRule type="cellIs" priority="66" operator="greaterThanOrEqual" id="{C5514F8C-E768-415A-8C1A-AABAC8F0EF27}">
            <xm:f>Properties!$B$7</xm:f>
            <x14:dxf>
              <fill>
                <patternFill>
                  <bgColor rgb="FFFF0000"/>
                </patternFill>
              </fill>
            </x14:dxf>
          </x14:cfRule>
          <xm:sqref>V45</xm:sqref>
        </x14:conditionalFormatting>
        <x14:conditionalFormatting xmlns:xm="http://schemas.microsoft.com/office/excel/2006/main">
          <x14:cfRule type="cellIs" priority="62" operator="lessThanOrEqual" id="{AF51F9EE-DE0B-4C3E-A5A7-34784126FC94}">
            <xm:f>Properties!$B$7</xm:f>
            <x14:dxf>
              <fill>
                <patternFill>
                  <bgColor rgb="FF92D050"/>
                </patternFill>
              </fill>
            </x14:dxf>
          </x14:cfRule>
          <x14:cfRule type="cellIs" priority="63" operator="greaterThanOrEqual" id="{6CF2B6CA-0CD6-4987-B37E-523AF621AD47}">
            <xm:f>Properties!$B$7</xm:f>
            <x14:dxf>
              <fill>
                <patternFill>
                  <bgColor rgb="FFFF0000"/>
                </patternFill>
              </fill>
            </x14:dxf>
          </x14:cfRule>
          <xm:sqref>V46</xm:sqref>
        </x14:conditionalFormatting>
        <x14:conditionalFormatting xmlns:xm="http://schemas.microsoft.com/office/excel/2006/main">
          <x14:cfRule type="cellIs" priority="59" operator="lessThanOrEqual" id="{3D075EB1-124D-413A-B261-AF95B1008879}">
            <xm:f>Properties!$B$7</xm:f>
            <x14:dxf>
              <fill>
                <patternFill>
                  <bgColor rgb="FF92D050"/>
                </patternFill>
              </fill>
            </x14:dxf>
          </x14:cfRule>
          <x14:cfRule type="cellIs" priority="60" operator="greaterThanOrEqual" id="{0700BA37-6E98-4540-8EA5-C6DB11B3CC70}">
            <xm:f>Properties!$B$7</xm:f>
            <x14:dxf>
              <fill>
                <patternFill>
                  <bgColor rgb="FFFF0000"/>
                </patternFill>
              </fill>
            </x14:dxf>
          </x14:cfRule>
          <xm:sqref>V47</xm:sqref>
        </x14:conditionalFormatting>
        <x14:conditionalFormatting xmlns:xm="http://schemas.microsoft.com/office/excel/2006/main">
          <x14:cfRule type="cellIs" priority="56" operator="lessThanOrEqual" id="{70B264A7-47E0-4F58-A2A0-274C4AB9354A}">
            <xm:f>Properties!$B$7</xm:f>
            <x14:dxf>
              <fill>
                <patternFill>
                  <bgColor rgb="FF92D050"/>
                </patternFill>
              </fill>
            </x14:dxf>
          </x14:cfRule>
          <x14:cfRule type="cellIs" priority="57" operator="greaterThanOrEqual" id="{A6E20DA0-F0AD-460C-8B2A-6D7407CDA3B4}">
            <xm:f>Properties!$B$7</xm:f>
            <x14:dxf>
              <fill>
                <patternFill>
                  <bgColor rgb="FFFF0000"/>
                </patternFill>
              </fill>
            </x14:dxf>
          </x14:cfRule>
          <xm:sqref>V48</xm:sqref>
        </x14:conditionalFormatting>
        <x14:conditionalFormatting xmlns:xm="http://schemas.microsoft.com/office/excel/2006/main">
          <x14:cfRule type="cellIs" priority="53" operator="lessThanOrEqual" id="{08B95B82-6FB0-4F97-9311-055C606D4ADE}">
            <xm:f>Properties!$B$7</xm:f>
            <x14:dxf>
              <fill>
                <patternFill>
                  <bgColor rgb="FF92D050"/>
                </patternFill>
              </fill>
            </x14:dxf>
          </x14:cfRule>
          <x14:cfRule type="cellIs" priority="54" operator="greaterThanOrEqual" id="{AD8E656E-1992-43D4-B0A2-C9487E06586E}">
            <xm:f>Properties!$B$7</xm:f>
            <x14:dxf>
              <fill>
                <patternFill>
                  <bgColor rgb="FFFF0000"/>
                </patternFill>
              </fill>
            </x14:dxf>
          </x14:cfRule>
          <xm:sqref>V49</xm:sqref>
        </x14:conditionalFormatting>
        <x14:conditionalFormatting xmlns:xm="http://schemas.microsoft.com/office/excel/2006/main">
          <x14:cfRule type="cellIs" priority="50" operator="lessThanOrEqual" id="{57299EA5-0B6B-4F64-A49D-5A850ECEDB52}">
            <xm:f>Properties!$B$7</xm:f>
            <x14:dxf>
              <fill>
                <patternFill>
                  <bgColor rgb="FF92D050"/>
                </patternFill>
              </fill>
            </x14:dxf>
          </x14:cfRule>
          <x14:cfRule type="cellIs" priority="51" operator="greaterThanOrEqual" id="{672C695A-D886-40FC-9548-E3F30B956C3E}">
            <xm:f>Properties!$B$7</xm:f>
            <x14:dxf>
              <fill>
                <patternFill>
                  <bgColor rgb="FFFF0000"/>
                </patternFill>
              </fill>
            </x14:dxf>
          </x14:cfRule>
          <xm:sqref>V50</xm:sqref>
        </x14:conditionalFormatting>
        <x14:conditionalFormatting xmlns:xm="http://schemas.microsoft.com/office/excel/2006/main">
          <x14:cfRule type="cellIs" priority="47" operator="lessThanOrEqual" id="{C1DF133A-332D-4148-930D-66A753CDAFF6}">
            <xm:f>Properties!$B$7</xm:f>
            <x14:dxf>
              <fill>
                <patternFill>
                  <bgColor rgb="FF92D050"/>
                </patternFill>
              </fill>
            </x14:dxf>
          </x14:cfRule>
          <x14:cfRule type="cellIs" priority="48" operator="greaterThanOrEqual" id="{59CF300C-5EF3-49D0-A637-D027AFA8E73F}">
            <xm:f>Properties!$B$7</xm:f>
            <x14:dxf>
              <fill>
                <patternFill>
                  <bgColor rgb="FFFF0000"/>
                </patternFill>
              </fill>
            </x14:dxf>
          </x14:cfRule>
          <xm:sqref>V51</xm:sqref>
        </x14:conditionalFormatting>
        <x14:conditionalFormatting xmlns:xm="http://schemas.microsoft.com/office/excel/2006/main">
          <x14:cfRule type="cellIs" priority="44" operator="lessThanOrEqual" id="{6AA0EA4A-47ED-4325-AF72-BD307B6670D6}">
            <xm:f>Properties!$B$7</xm:f>
            <x14:dxf>
              <fill>
                <patternFill>
                  <bgColor rgb="FF92D050"/>
                </patternFill>
              </fill>
            </x14:dxf>
          </x14:cfRule>
          <x14:cfRule type="cellIs" priority="45" operator="greaterThanOrEqual" id="{37966E32-CDD5-4C79-8950-621B925C630A}">
            <xm:f>Properties!$B$7</xm:f>
            <x14:dxf>
              <fill>
                <patternFill>
                  <bgColor rgb="FFFF0000"/>
                </patternFill>
              </fill>
            </x14:dxf>
          </x14:cfRule>
          <xm:sqref>V52</xm:sqref>
        </x14:conditionalFormatting>
        <x14:conditionalFormatting xmlns:xm="http://schemas.microsoft.com/office/excel/2006/main">
          <x14:cfRule type="cellIs" priority="41" operator="lessThanOrEqual" id="{731D874F-2378-4CEF-AC5E-B7758FD53FB5}">
            <xm:f>Properties!$B$7</xm:f>
            <x14:dxf>
              <fill>
                <patternFill>
                  <bgColor rgb="FF92D050"/>
                </patternFill>
              </fill>
            </x14:dxf>
          </x14:cfRule>
          <x14:cfRule type="cellIs" priority="42" operator="greaterThanOrEqual" id="{BC9BEA8F-74E7-4D81-AF48-100E0241043F}">
            <xm:f>Properties!$B$7</xm:f>
            <x14:dxf>
              <fill>
                <patternFill>
                  <bgColor rgb="FFFF0000"/>
                </patternFill>
              </fill>
            </x14:dxf>
          </x14:cfRule>
          <xm:sqref>V53</xm:sqref>
        </x14:conditionalFormatting>
        <x14:conditionalFormatting xmlns:xm="http://schemas.microsoft.com/office/excel/2006/main">
          <x14:cfRule type="cellIs" priority="38" operator="lessThanOrEqual" id="{A9D29A28-6402-4ABB-8B6D-5EDF15B5C45C}">
            <xm:f>Properties!$B$7</xm:f>
            <x14:dxf>
              <fill>
                <patternFill>
                  <bgColor rgb="FF92D050"/>
                </patternFill>
              </fill>
            </x14:dxf>
          </x14:cfRule>
          <x14:cfRule type="cellIs" priority="39" operator="greaterThanOrEqual" id="{ABCDB27D-54F8-4455-B723-FE1562A3D34E}">
            <xm:f>Properties!$B$7</xm:f>
            <x14:dxf>
              <fill>
                <patternFill>
                  <bgColor rgb="FFFF0000"/>
                </patternFill>
              </fill>
            </x14:dxf>
          </x14:cfRule>
          <xm:sqref>V54</xm:sqref>
        </x14:conditionalFormatting>
        <x14:conditionalFormatting xmlns:xm="http://schemas.microsoft.com/office/excel/2006/main">
          <x14:cfRule type="cellIs" priority="35" operator="lessThanOrEqual" id="{491E154B-1DCB-4329-9878-6598665C3918}">
            <xm:f>Properties!$B$7</xm:f>
            <x14:dxf>
              <fill>
                <patternFill>
                  <bgColor rgb="FF92D050"/>
                </patternFill>
              </fill>
            </x14:dxf>
          </x14:cfRule>
          <x14:cfRule type="cellIs" priority="36" operator="greaterThanOrEqual" id="{0FBB1396-B40D-4B59-B6D4-564D44A867D6}">
            <xm:f>Properties!$B$7</xm:f>
            <x14:dxf>
              <fill>
                <patternFill>
                  <bgColor rgb="FFFF0000"/>
                </patternFill>
              </fill>
            </x14:dxf>
          </x14:cfRule>
          <xm:sqref>V55</xm:sqref>
        </x14:conditionalFormatting>
        <x14:conditionalFormatting xmlns:xm="http://schemas.microsoft.com/office/excel/2006/main">
          <x14:cfRule type="cellIs" priority="32" operator="lessThanOrEqual" id="{C0F8EC10-74A2-4374-9F1E-BE6134DC9E9C}">
            <xm:f>Properties!$B$7</xm:f>
            <x14:dxf>
              <fill>
                <patternFill>
                  <bgColor rgb="FF92D050"/>
                </patternFill>
              </fill>
            </x14:dxf>
          </x14:cfRule>
          <x14:cfRule type="cellIs" priority="33" operator="greaterThanOrEqual" id="{733BC6BE-4769-49D1-B819-91A7E04FF39C}">
            <xm:f>Properties!$B$7</xm:f>
            <x14:dxf>
              <fill>
                <patternFill>
                  <bgColor rgb="FFFF0000"/>
                </patternFill>
              </fill>
            </x14:dxf>
          </x14:cfRule>
          <xm:sqref>V56</xm:sqref>
        </x14:conditionalFormatting>
        <x14:conditionalFormatting xmlns:xm="http://schemas.microsoft.com/office/excel/2006/main">
          <x14:cfRule type="cellIs" priority="29" operator="lessThanOrEqual" id="{905A46F4-2CBF-41E6-96A7-A2CAB835259D}">
            <xm:f>Properties!$B$7</xm:f>
            <x14:dxf>
              <fill>
                <patternFill>
                  <bgColor rgb="FF92D050"/>
                </patternFill>
              </fill>
            </x14:dxf>
          </x14:cfRule>
          <x14:cfRule type="cellIs" priority="30" operator="greaterThanOrEqual" id="{02D1DD42-6628-45B5-B4F7-2799BD293B24}">
            <xm:f>Properties!$B$7</xm:f>
            <x14:dxf>
              <fill>
                <patternFill>
                  <bgColor rgb="FFFF0000"/>
                </patternFill>
              </fill>
            </x14:dxf>
          </x14:cfRule>
          <xm:sqref>V57</xm:sqref>
        </x14:conditionalFormatting>
        <x14:conditionalFormatting xmlns:xm="http://schemas.microsoft.com/office/excel/2006/main">
          <x14:cfRule type="cellIs" priority="26" operator="lessThanOrEqual" id="{8305513A-BCB3-4C86-937B-BC7DD042FF0E}">
            <xm:f>Properties!$B$7</xm:f>
            <x14:dxf>
              <fill>
                <patternFill>
                  <bgColor rgb="FF92D050"/>
                </patternFill>
              </fill>
            </x14:dxf>
          </x14:cfRule>
          <x14:cfRule type="cellIs" priority="27" operator="greaterThanOrEqual" id="{734E6712-7BBC-44E4-979B-CCDFFB12F927}">
            <xm:f>Properties!$B$7</xm:f>
            <x14:dxf>
              <fill>
                <patternFill>
                  <bgColor rgb="FFFF0000"/>
                </patternFill>
              </fill>
            </x14:dxf>
          </x14:cfRule>
          <xm:sqref>V58</xm:sqref>
        </x14:conditionalFormatting>
        <x14:conditionalFormatting xmlns:xm="http://schemas.microsoft.com/office/excel/2006/main">
          <x14:cfRule type="cellIs" priority="23" operator="lessThanOrEqual" id="{5943BFBC-3BD6-4344-9EF2-9141822120B6}">
            <xm:f>Properties!$B$7</xm:f>
            <x14:dxf>
              <fill>
                <patternFill>
                  <bgColor rgb="FF92D050"/>
                </patternFill>
              </fill>
            </x14:dxf>
          </x14:cfRule>
          <x14:cfRule type="cellIs" priority="24" operator="greaterThanOrEqual" id="{12B0DF4E-E783-4306-A267-5A4A5FA11807}">
            <xm:f>Properties!$B$7</xm:f>
            <x14:dxf>
              <fill>
                <patternFill>
                  <bgColor rgb="FFFF0000"/>
                </patternFill>
              </fill>
            </x14:dxf>
          </x14:cfRule>
          <xm:sqref>V59</xm:sqref>
        </x14:conditionalFormatting>
        <x14:conditionalFormatting xmlns:xm="http://schemas.microsoft.com/office/excel/2006/main">
          <x14:cfRule type="cellIs" priority="20" operator="lessThanOrEqual" id="{72B11FD8-82B8-47BE-9458-3894F68E1F4D}">
            <xm:f>Properties!$B$7</xm:f>
            <x14:dxf>
              <fill>
                <patternFill>
                  <bgColor rgb="FF92D050"/>
                </patternFill>
              </fill>
            </x14:dxf>
          </x14:cfRule>
          <x14:cfRule type="cellIs" priority="21" operator="greaterThanOrEqual" id="{4955F006-2547-4443-B94E-1596319EFBC3}">
            <xm:f>Properties!$B$7</xm:f>
            <x14:dxf>
              <fill>
                <patternFill>
                  <bgColor rgb="FFFF0000"/>
                </patternFill>
              </fill>
            </x14:dxf>
          </x14:cfRule>
          <xm:sqref>V60</xm:sqref>
        </x14:conditionalFormatting>
        <x14:conditionalFormatting xmlns:xm="http://schemas.microsoft.com/office/excel/2006/main">
          <x14:cfRule type="cellIs" priority="17" operator="lessThanOrEqual" id="{28B67050-93D5-4595-A56D-2731504B5070}">
            <xm:f>Properties!$B$7</xm:f>
            <x14:dxf>
              <fill>
                <patternFill>
                  <bgColor rgb="FF92D050"/>
                </patternFill>
              </fill>
            </x14:dxf>
          </x14:cfRule>
          <x14:cfRule type="cellIs" priority="18" operator="greaterThanOrEqual" id="{488383AD-EE02-4621-9630-BB888959951C}">
            <xm:f>Properties!$B$7</xm:f>
            <x14:dxf>
              <fill>
                <patternFill>
                  <bgColor rgb="FFFF0000"/>
                </patternFill>
              </fill>
            </x14:dxf>
          </x14:cfRule>
          <xm:sqref>V61</xm:sqref>
        </x14:conditionalFormatting>
        <x14:conditionalFormatting xmlns:xm="http://schemas.microsoft.com/office/excel/2006/main">
          <x14:cfRule type="cellIs" priority="14" operator="lessThanOrEqual" id="{BFCEAB07-AAD8-4003-AACF-8313C26F6236}">
            <xm:f>Properties!$B$7</xm:f>
            <x14:dxf>
              <fill>
                <patternFill>
                  <bgColor rgb="FF92D050"/>
                </patternFill>
              </fill>
            </x14:dxf>
          </x14:cfRule>
          <x14:cfRule type="cellIs" priority="15" operator="greaterThanOrEqual" id="{8CC65967-F40A-462D-A40F-3382D9F6254A}">
            <xm:f>Properties!$B$7</xm:f>
            <x14:dxf>
              <fill>
                <patternFill>
                  <bgColor rgb="FFFF0000"/>
                </patternFill>
              </fill>
            </x14:dxf>
          </x14:cfRule>
          <xm:sqref>V62</xm:sqref>
        </x14:conditionalFormatting>
        <x14:conditionalFormatting xmlns:xm="http://schemas.microsoft.com/office/excel/2006/main">
          <x14:cfRule type="cellIs" priority="11" operator="lessThanOrEqual" id="{5621C275-BDA3-49BC-B219-85FAC86A66D9}">
            <xm:f>Properties!$B$7</xm:f>
            <x14:dxf>
              <fill>
                <patternFill>
                  <bgColor rgb="FF92D050"/>
                </patternFill>
              </fill>
            </x14:dxf>
          </x14:cfRule>
          <x14:cfRule type="cellIs" priority="12" operator="greaterThanOrEqual" id="{AD06376B-6156-43A3-8D92-2AF84B404E04}">
            <xm:f>Properties!$B$7</xm:f>
            <x14:dxf>
              <fill>
                <patternFill>
                  <bgColor rgb="FFFF0000"/>
                </patternFill>
              </fill>
            </x14:dxf>
          </x14:cfRule>
          <xm:sqref>V63</xm:sqref>
        </x14:conditionalFormatting>
        <x14:conditionalFormatting xmlns:xm="http://schemas.microsoft.com/office/excel/2006/main">
          <x14:cfRule type="cellIs" priority="8" operator="lessThanOrEqual" id="{C8463B9C-3FE2-455F-B8EA-509AAA08708F}">
            <xm:f>Properties!$B$7</xm:f>
            <x14:dxf>
              <fill>
                <patternFill>
                  <bgColor rgb="FF92D050"/>
                </patternFill>
              </fill>
            </x14:dxf>
          </x14:cfRule>
          <x14:cfRule type="cellIs" priority="9" operator="greaterThanOrEqual" id="{9032EA74-2FE2-44B7-9B4F-182C88D073A8}">
            <xm:f>Properties!$B$7</xm:f>
            <x14:dxf>
              <fill>
                <patternFill>
                  <bgColor rgb="FFFF0000"/>
                </patternFill>
              </fill>
            </x14:dxf>
          </x14:cfRule>
          <xm:sqref>V64</xm:sqref>
        </x14:conditionalFormatting>
        <x14:conditionalFormatting xmlns:xm="http://schemas.microsoft.com/office/excel/2006/main">
          <x14:cfRule type="cellIs" priority="5" operator="lessThanOrEqual" id="{BCB28B6A-F54B-4386-98FE-34401BDA9AF4}">
            <xm:f>Properties!$B$7</xm:f>
            <x14:dxf>
              <fill>
                <patternFill>
                  <bgColor rgb="FF92D050"/>
                </patternFill>
              </fill>
            </x14:dxf>
          </x14:cfRule>
          <x14:cfRule type="cellIs" priority="6" operator="greaterThanOrEqual" id="{9C951A1D-E703-4C93-AC00-8123B1441FBB}">
            <xm:f>Properties!$B$7</xm:f>
            <x14:dxf>
              <fill>
                <patternFill>
                  <bgColor rgb="FFFF0000"/>
                </patternFill>
              </fill>
            </x14:dxf>
          </x14:cfRule>
          <xm:sqref>V65</xm:sqref>
        </x14:conditionalFormatting>
        <x14:conditionalFormatting xmlns:xm="http://schemas.microsoft.com/office/excel/2006/main">
          <x14:cfRule type="cellIs" priority="2" operator="lessThanOrEqual" id="{F400007D-B21E-4A36-B142-83F3A151589B}">
            <xm:f>Properties!$B$7</xm:f>
            <x14:dxf>
              <fill>
                <patternFill>
                  <bgColor rgb="FF92D050"/>
                </patternFill>
              </fill>
            </x14:dxf>
          </x14:cfRule>
          <x14:cfRule type="cellIs" priority="3" operator="greaterThanOrEqual" id="{81786A7E-49A8-4383-98F4-A889BC9F9210}">
            <xm:f>Properties!$B$7</xm:f>
            <x14:dxf>
              <fill>
                <patternFill>
                  <bgColor rgb="FFFF0000"/>
                </patternFill>
              </fill>
            </x14:dxf>
          </x14:cfRule>
          <xm:sqref>V66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Z66"/>
  <sheetViews>
    <sheetView tabSelected="1" zoomScale="90" zoomScaleNormal="90" workbookViewId="0">
      <pane xSplit="5" ySplit="5" topLeftCell="F54" activePane="bottomRight" state="frozen"/>
      <selection pane="topRight" activeCell="F1" sqref="F1"/>
      <selection pane="bottomLeft" activeCell="A6" sqref="A6"/>
      <selection pane="bottomRight" activeCell="L55" sqref="L55"/>
    </sheetView>
  </sheetViews>
  <sheetFormatPr defaultColWidth="9.109375" defaultRowHeight="13.2" x14ac:dyDescent="0.25"/>
  <cols>
    <col min="1" max="1" width="5.109375" style="32" customWidth="1"/>
    <col min="2" max="3" width="21.44140625" style="19" customWidth="1"/>
    <col min="4" max="4" width="60.77734375" style="19" customWidth="1"/>
    <col min="5" max="5" width="11.44140625" style="32" customWidth="1"/>
    <col min="6" max="6" width="14.21875" style="19" customWidth="1"/>
    <col min="7" max="7" width="19.44140625" style="5" hidden="1" customWidth="1"/>
    <col min="8" max="8" width="14.21875" style="5" customWidth="1"/>
    <col min="9" max="9" width="16.77734375" style="5" hidden="1" customWidth="1"/>
    <col min="10" max="10" width="14.21875" style="19" customWidth="1"/>
    <col min="11" max="11" width="16.21875" style="5" hidden="1" customWidth="1"/>
    <col min="12" max="12" width="14.21875" style="5" customWidth="1"/>
    <col min="13" max="13" width="19.6640625" style="5" hidden="1" customWidth="1"/>
    <col min="14" max="14" width="14.21875" style="5" customWidth="1"/>
    <col min="15" max="15" width="13.5546875" style="5" hidden="1" customWidth="1"/>
    <col min="16" max="16" width="14.21875" style="5" customWidth="1"/>
    <col min="17" max="17" width="15.5546875" style="5" hidden="1" customWidth="1"/>
    <col min="18" max="18" width="14.21875" style="19" customWidth="1"/>
    <col min="19" max="19" width="16.44140625" style="5" hidden="1" customWidth="1"/>
    <col min="20" max="20" width="15.6640625" style="5" hidden="1" customWidth="1"/>
    <col min="21" max="21" width="16.44140625" style="19" hidden="1" customWidth="1"/>
    <col min="22" max="23" width="12.5546875" style="24" customWidth="1"/>
    <col min="24" max="24" width="21.21875" style="19" customWidth="1"/>
    <col min="25" max="25" width="30.33203125" style="19" customWidth="1"/>
    <col min="26" max="26" width="25.109375" customWidth="1"/>
    <col min="27" max="27" width="8.77734375" style="32" hidden="1" customWidth="1"/>
    <col min="28" max="29" width="8.5546875" style="32" hidden="1" customWidth="1"/>
    <col min="30" max="30" width="7.21875" style="32" hidden="1" customWidth="1"/>
    <col min="31" max="31" width="6.77734375" style="32" hidden="1" customWidth="1"/>
    <col min="32" max="32" width="7.44140625" style="32" hidden="1" customWidth="1"/>
    <col min="33" max="33" width="10.109375" style="32" hidden="1" customWidth="1"/>
    <col min="34" max="34" width="9.77734375" style="32" hidden="1" customWidth="1"/>
    <col min="35" max="36" width="8.33203125" style="32" hidden="1" customWidth="1"/>
    <col min="37" max="37" width="7.6640625" style="32" hidden="1" customWidth="1"/>
    <col min="38" max="38" width="8.5546875" style="32" hidden="1" customWidth="1"/>
    <col min="39" max="39" width="12" style="32" hidden="1" customWidth="1"/>
    <col min="40" max="40" width="22.77734375" style="32" hidden="1" customWidth="1"/>
    <col min="41" max="41" width="12.6640625" style="32" hidden="1" customWidth="1"/>
    <col min="42" max="42" width="15.44140625" style="32" hidden="1" customWidth="1"/>
    <col min="43" max="43" width="17.6640625" style="32" hidden="1" customWidth="1"/>
    <col min="44" max="44" width="13.44140625" style="32" hidden="1" customWidth="1"/>
    <col min="45" max="45" width="18.88671875" style="32" hidden="1" customWidth="1"/>
    <col min="46" max="46" width="12.44140625" style="32" hidden="1" customWidth="1"/>
    <col min="47" max="47" width="11.88671875" style="32" hidden="1" customWidth="1"/>
    <col min="48" max="48" width="16.21875" style="32" hidden="1" customWidth="1"/>
    <col min="49" max="49" width="9.109375" style="32" hidden="1" customWidth="1"/>
    <col min="50" max="52" width="9.109375" style="5" hidden="1" customWidth="1"/>
    <col min="53" max="16384" width="9.109375" style="5"/>
  </cols>
  <sheetData>
    <row r="1" spans="1:52" customFormat="1" ht="24.6" x14ac:dyDescent="0.4">
      <c r="A1" s="64" t="s">
        <v>127</v>
      </c>
      <c r="B1" s="64"/>
      <c r="C1" s="64"/>
      <c r="D1" s="64"/>
      <c r="E1" s="64"/>
      <c r="F1" s="65"/>
      <c r="G1" s="65"/>
      <c r="H1" s="65"/>
      <c r="I1" s="65"/>
      <c r="J1" s="65"/>
      <c r="K1" s="65"/>
      <c r="L1" s="65"/>
      <c r="M1" s="65"/>
      <c r="N1" s="65"/>
      <c r="O1" s="65"/>
      <c r="P1" s="65"/>
      <c r="Q1" s="65"/>
      <c r="R1" s="65"/>
      <c r="S1" s="65"/>
      <c r="T1" s="65"/>
      <c r="U1" s="65"/>
      <c r="V1" s="65"/>
      <c r="W1" s="65"/>
      <c r="X1" s="65"/>
      <c r="Y1" s="65"/>
      <c r="Z1" s="17"/>
    </row>
    <row r="2" spans="1:52" ht="15" customHeight="1" x14ac:dyDescent="0.25">
      <c r="A2" s="82" t="s">
        <v>75</v>
      </c>
      <c r="B2" s="82"/>
      <c r="C2" s="82"/>
      <c r="D2" s="82"/>
      <c r="E2" s="82"/>
      <c r="F2" s="76" t="s">
        <v>123</v>
      </c>
      <c r="G2" s="77"/>
      <c r="H2" s="77"/>
      <c r="I2" s="77"/>
      <c r="J2" s="77"/>
      <c r="K2" s="77"/>
      <c r="L2" s="77"/>
      <c r="M2" s="77"/>
      <c r="N2" s="77"/>
      <c r="O2" s="77"/>
      <c r="P2" s="77"/>
      <c r="Q2" s="77"/>
      <c r="R2" s="77"/>
      <c r="S2" s="77"/>
      <c r="T2" s="77"/>
      <c r="U2" s="77"/>
      <c r="V2" s="77"/>
      <c r="W2" s="78"/>
      <c r="X2" s="82" t="s">
        <v>119</v>
      </c>
      <c r="Y2" s="82"/>
    </row>
    <row r="3" spans="1:52" ht="15" customHeight="1" x14ac:dyDescent="0.25">
      <c r="A3" s="82"/>
      <c r="B3" s="82"/>
      <c r="C3" s="82"/>
      <c r="D3" s="82"/>
      <c r="E3" s="82"/>
      <c r="F3" s="79"/>
      <c r="G3" s="80"/>
      <c r="H3" s="80"/>
      <c r="I3" s="80"/>
      <c r="J3" s="80"/>
      <c r="K3" s="80"/>
      <c r="L3" s="80"/>
      <c r="M3" s="80"/>
      <c r="N3" s="80"/>
      <c r="O3" s="80"/>
      <c r="P3" s="80"/>
      <c r="Q3" s="80"/>
      <c r="R3" s="80"/>
      <c r="S3" s="80"/>
      <c r="T3" s="80"/>
      <c r="U3" s="80"/>
      <c r="V3" s="80"/>
      <c r="W3" s="81"/>
      <c r="X3" s="82"/>
      <c r="Y3" s="82"/>
    </row>
    <row r="4" spans="1:52" ht="13.8" x14ac:dyDescent="0.25">
      <c r="A4" s="66" t="s">
        <v>1</v>
      </c>
      <c r="B4" s="66" t="s">
        <v>29</v>
      </c>
      <c r="C4" s="66" t="s">
        <v>31</v>
      </c>
      <c r="D4" s="66" t="s">
        <v>0</v>
      </c>
      <c r="E4" s="66" t="s">
        <v>109</v>
      </c>
      <c r="F4" s="73" t="s">
        <v>124</v>
      </c>
      <c r="G4" s="74"/>
      <c r="H4" s="74"/>
      <c r="I4" s="74"/>
      <c r="J4" s="75"/>
      <c r="K4" s="48"/>
      <c r="L4" s="73" t="s">
        <v>125</v>
      </c>
      <c r="M4" s="74"/>
      <c r="N4" s="74"/>
      <c r="O4" s="74"/>
      <c r="P4" s="75"/>
      <c r="Q4" s="48"/>
      <c r="R4" s="49" t="s">
        <v>126</v>
      </c>
      <c r="S4" s="41"/>
      <c r="T4" s="68"/>
      <c r="U4" s="41"/>
      <c r="V4" s="72" t="s">
        <v>120</v>
      </c>
      <c r="W4" s="83" t="s">
        <v>121</v>
      </c>
      <c r="X4" s="66" t="s">
        <v>110</v>
      </c>
      <c r="Y4" s="66" t="s">
        <v>128</v>
      </c>
    </row>
    <row r="5" spans="1:52" ht="41.25" customHeight="1" x14ac:dyDescent="0.3">
      <c r="A5" s="66"/>
      <c r="B5" s="66"/>
      <c r="C5" s="66"/>
      <c r="D5" s="66"/>
      <c r="E5" s="66"/>
      <c r="F5" s="47" t="s">
        <v>117</v>
      </c>
      <c r="G5" s="47"/>
      <c r="H5" s="47" t="s">
        <v>5</v>
      </c>
      <c r="I5" s="47"/>
      <c r="J5" s="47" t="s">
        <v>6</v>
      </c>
      <c r="K5" s="47"/>
      <c r="L5" s="47" t="s">
        <v>7</v>
      </c>
      <c r="M5" s="47"/>
      <c r="N5" s="47" t="s">
        <v>8</v>
      </c>
      <c r="O5" s="47"/>
      <c r="P5" s="47" t="s">
        <v>9</v>
      </c>
      <c r="Q5" s="47"/>
      <c r="R5" s="47" t="s">
        <v>10</v>
      </c>
      <c r="S5" s="41" t="s">
        <v>30</v>
      </c>
      <c r="T5" s="69"/>
      <c r="U5" s="41" t="s">
        <v>30</v>
      </c>
      <c r="V5" s="72"/>
      <c r="W5" s="83"/>
      <c r="X5" s="66"/>
      <c r="Y5" s="66"/>
      <c r="AA5" s="35" t="s">
        <v>76</v>
      </c>
      <c r="AB5" s="35" t="s">
        <v>77</v>
      </c>
      <c r="AC5" s="35" t="s">
        <v>78</v>
      </c>
      <c r="AD5" s="35" t="s">
        <v>79</v>
      </c>
      <c r="AE5" s="35" t="s">
        <v>34</v>
      </c>
      <c r="AF5" s="35" t="s">
        <v>35</v>
      </c>
      <c r="AG5" s="35" t="s">
        <v>80</v>
      </c>
      <c r="AH5" s="35" t="s">
        <v>81</v>
      </c>
      <c r="AI5" s="35" t="s">
        <v>82</v>
      </c>
      <c r="AJ5" s="35" t="s">
        <v>83</v>
      </c>
      <c r="AK5" s="35" t="s">
        <v>84</v>
      </c>
      <c r="AL5" s="35" t="s">
        <v>85</v>
      </c>
      <c r="AM5" s="35" t="s">
        <v>28</v>
      </c>
      <c r="AN5" s="35" t="s">
        <v>86</v>
      </c>
      <c r="AO5" s="35" t="s">
        <v>27</v>
      </c>
      <c r="AP5" s="35" t="s">
        <v>87</v>
      </c>
      <c r="AQ5" s="35" t="s">
        <v>88</v>
      </c>
      <c r="AR5" s="35" t="s">
        <v>89</v>
      </c>
      <c r="AS5" s="35" t="s">
        <v>90</v>
      </c>
      <c r="AT5" s="35" t="s">
        <v>91</v>
      </c>
      <c r="AU5" s="35" t="s">
        <v>92</v>
      </c>
      <c r="AV5" s="36" t="s">
        <v>106</v>
      </c>
    </row>
    <row r="6" spans="1:52" ht="102" customHeight="1" x14ac:dyDescent="0.25">
      <c r="A6" s="38">
        <f>IF(ISBLANK('Pre-Mitigated VA'!A6),"",'Pre-Mitigated VA'!A6)</f>
        <v>1</v>
      </c>
      <c r="B6" s="26" t="str">
        <f>IF(ISBLANK('Pre-Mitigated VA'!B6),"",'Pre-Mitigated VA'!B6)</f>
        <v>Spoofed Human Actor, User</v>
      </c>
      <c r="C6" s="26" t="str">
        <f>IF(ISBLANK('Pre-Mitigated VA'!C6),"",'Pre-Mitigated VA'!C6)</f>
        <v>User Input to App - Spoofing</v>
      </c>
      <c r="D6" s="26" t="str">
        <f>IF(ISBLANK('Pre-Mitigated VA'!D6),"",'Pre-Mitigated VA'!D6)</f>
        <v>An adversary replaces the intended user, User, as the person controlling and interacting with the device, and the adversary can therefore perform the same operations as the intended user.</v>
      </c>
      <c r="E6" s="38" t="str">
        <f>IF(ISBLANK('Pre-Mitigated VA'!E6),"",'Pre-Mitigated VA'!E6)</f>
        <v>Yes</v>
      </c>
      <c r="F6" s="27" t="s">
        <v>12</v>
      </c>
      <c r="G6" s="27"/>
      <c r="H6" s="27" t="s">
        <v>2</v>
      </c>
      <c r="I6" s="27"/>
      <c r="J6" s="27" t="s">
        <v>55</v>
      </c>
      <c r="K6" s="27"/>
      <c r="L6" s="27" t="s">
        <v>16</v>
      </c>
      <c r="M6" s="27"/>
      <c r="N6" s="27" t="s">
        <v>15</v>
      </c>
      <c r="O6" s="27"/>
      <c r="P6" s="27" t="s">
        <v>15</v>
      </c>
      <c r="Q6" s="27"/>
      <c r="R6" s="31" t="s">
        <v>3</v>
      </c>
      <c r="S6" s="27"/>
      <c r="T6" s="27" t="s">
        <v>15</v>
      </c>
      <c r="U6" s="27"/>
      <c r="V6" s="28">
        <f>'Pre-Mitigated VA'!V6</f>
        <v>5.6</v>
      </c>
      <c r="W6" s="30">
        <f t="shared" ref="W6:W37" si="0">IF($AV6,"INCOMPLETE", IF(AT6&lt;0,0,AT6))</f>
        <v>2.7</v>
      </c>
      <c r="X6" s="34"/>
      <c r="Y6" s="34" t="s">
        <v>465</v>
      </c>
      <c r="AA6">
        <f t="shared" ref="AA6:AA37" si="1">IF( $AV6 = FALSE,VLOOKUP($F6,Access_Vector,3,FALSE),0)</f>
        <v>0.39500000000000002</v>
      </c>
      <c r="AB6">
        <f t="shared" ref="AB6:AB37" si="2">IF( $AV6= FALSE,VLOOKUP($H6,Access_Complexity,3,FALSE),0)</f>
        <v>0.35</v>
      </c>
      <c r="AC6">
        <f t="shared" ref="AC6:AC37" si="3">IF($AV6=FALSE,VLOOKUP($J6,Authentication,3,FALSE),0)</f>
        <v>0.45</v>
      </c>
      <c r="AD6">
        <f t="shared" ref="AD6:AD37" si="4">IF( $AV6=FALSE,VLOOKUP($L6,Confidentiality_Impact,3,FALSE),0)</f>
        <v>0.27500000000000002</v>
      </c>
      <c r="AE6">
        <f t="shared" ref="AE6:AE37" si="5">IF( $AV6=FALSE,VLOOKUP($N6,Integrity_Impact,3,FALSE),0)</f>
        <v>0</v>
      </c>
      <c r="AF6">
        <f t="shared" ref="AF6:AF37" si="6">IF( $AV6=FALSE,VLOOKUP($P6,Availability_Impact,3,FALSE),0)</f>
        <v>0</v>
      </c>
      <c r="AG6">
        <f t="shared" ref="AG6:AG37" si="7">IF($AV6=FALSE, ROUND(((0.6*$AM6)+(0.4*$AN6)-1.5)*$AO6,1), 0)</f>
        <v>0.8</v>
      </c>
      <c r="AH6">
        <f t="shared" ref="AH6:AH37" si="8">IF( $AV6=FALSE,VLOOKUP($R6,Collateral_Damage_Potential,3,FALSE),0)</f>
        <v>0.1</v>
      </c>
      <c r="AI6">
        <f t="shared" ref="AI6:AI37" si="9">IF($AV6=FALSE,VLOOKUP($T6,Awareness,3,FALSE),0)</f>
        <v>0</v>
      </c>
      <c r="AJ6">
        <f>IF( $AV6=FALSE,VLOOKUP(Properties!$B$4, Confidentiality_Requirement,3,FALSE),0)</f>
        <v>1.51</v>
      </c>
      <c r="AK6">
        <f>IF( $AV6=FALSE,VLOOKUP(Properties!$B$5, Integrity_Requirement,3,FALSE),0)</f>
        <v>1.51</v>
      </c>
      <c r="AL6">
        <f>IF( $AV6=FALSE,VLOOKUP(Properties!$B$6, Availability_Requirement,3,FALSE),0)</f>
        <v>1.51</v>
      </c>
      <c r="AM6" s="14">
        <f t="shared" ref="AM6:AM37" si="10">10.41*(1-(1-$AD6)*(1-$AE6)*(1-$AF6))</f>
        <v>2.8627500000000001</v>
      </c>
      <c r="AN6" s="14">
        <f t="shared" ref="AN6:AN37" si="11">20*$AB6*$AC6*$AA6</f>
        <v>1.2442500000000001</v>
      </c>
      <c r="AO6" s="4">
        <f t="shared" ref="AO6:AO37" si="12">IF(($AM6 &gt; 0), 1.176, 0)</f>
        <v>1.1759999999999999</v>
      </c>
      <c r="AP6" s="15">
        <f t="shared" ref="AP6:AP37" si="13">ROUND(MIN(10, 10.41*(1-(1-($AD6*$AJ6))*(1-($AE6*$AK6))*(1-($AF6*$AL6)))),1)</f>
        <v>4.3</v>
      </c>
      <c r="AQ6" s="15">
        <f t="shared" ref="AQ6:AQ37" si="14">ROUND(($AR6*1*1*1),1)</f>
        <v>1.9</v>
      </c>
      <c r="AR6" s="15">
        <f t="shared" ref="AR6:AR37" si="15">ROUND((((0.6*$AP6)+(0.4*$AN6)-1.5)*$AO6),1)</f>
        <v>1.9</v>
      </c>
      <c r="AS6" s="15">
        <f t="shared" ref="AS6:AS37" si="16">ROUND(($AQ6+(10-$AQ6)*$AH6),1)</f>
        <v>2.7</v>
      </c>
      <c r="AT6">
        <f t="shared" ref="AT6:AT37" si="17">+IF($AU6=0, $AG6, $AU6)</f>
        <v>2.7</v>
      </c>
      <c r="AU6">
        <f t="shared" ref="AU6:AU37" si="18">ROUND(($AS6-($AS6 * $AI6)),1)</f>
        <v>2.7</v>
      </c>
      <c r="AV6" t="b">
        <f>IF(OR(F6="Undefined",H6="Undefined",J6="Undefined",L6="Undefined",N6="Undefined",P6="Undefined",R6="Undefined",T6="Undefined",'Pre-Mitigated VA'!$VA6=TRUE),TRUE, FALSE)</f>
        <v>0</v>
      </c>
      <c r="AW6"/>
      <c r="AX6"/>
      <c r="AY6"/>
      <c r="AZ6"/>
    </row>
    <row r="7" spans="1:52" ht="61.95" customHeight="1" x14ac:dyDescent="0.25">
      <c r="A7" s="38">
        <f>IF(ISBLANK('Pre-Mitigated VA'!A7),"",'Pre-Mitigated VA'!A7)</f>
        <v>2</v>
      </c>
      <c r="B7" s="26" t="str">
        <f>IF(ISBLANK('Pre-Mitigated VA'!B7),"",'Pre-Mitigated VA'!B7)</f>
        <v>Inject Malicious Executable Code or Input into User Application</v>
      </c>
      <c r="C7" s="26" t="str">
        <f>IF(ISBLANK('Pre-Mitigated VA'!C7),"",'Pre-Mitigated VA'!C7)</f>
        <v>User Input to App - Tampering</v>
      </c>
      <c r="D7" s="26" t="str">
        <f>IF(ISBLANK('Pre-Mitigated VA'!D7),"",'Pre-Mitigated VA'!D7)</f>
        <v>An adversary can inject specific software into the application, User Application, or its host platform, to be executed on the host platform to change device or application operation or to expose source code, keys and other sensitive information.</v>
      </c>
      <c r="E7" s="38" t="str">
        <f>IF(ISBLANK('Pre-Mitigated VA'!E7),"",'Pre-Mitigated VA'!E7)</f>
        <v>Yes</v>
      </c>
      <c r="F7" s="27" t="s">
        <v>12</v>
      </c>
      <c r="G7" s="27"/>
      <c r="H7" s="27" t="s">
        <v>11</v>
      </c>
      <c r="I7" s="27"/>
      <c r="J7" s="27" t="s">
        <v>55</v>
      </c>
      <c r="K7" s="27"/>
      <c r="L7" s="27" t="s">
        <v>16</v>
      </c>
      <c r="M7" s="27"/>
      <c r="N7" s="27" t="s">
        <v>16</v>
      </c>
      <c r="O7" s="27"/>
      <c r="P7" s="27" t="s">
        <v>15</v>
      </c>
      <c r="Q7" s="27"/>
      <c r="R7" s="31" t="s">
        <v>63</v>
      </c>
      <c r="S7" s="27"/>
      <c r="T7" s="27" t="s">
        <v>15</v>
      </c>
      <c r="U7" s="27"/>
      <c r="V7" s="28">
        <f>'Pre-Mitigated VA'!V7</f>
        <v>8</v>
      </c>
      <c r="W7" s="30">
        <f t="shared" si="0"/>
        <v>5.9</v>
      </c>
      <c r="X7" s="34"/>
      <c r="Y7" s="34" t="s">
        <v>466</v>
      </c>
      <c r="AA7">
        <f t="shared" si="1"/>
        <v>0.39500000000000002</v>
      </c>
      <c r="AB7">
        <f t="shared" si="2"/>
        <v>0.61</v>
      </c>
      <c r="AC7">
        <f t="shared" si="3"/>
        <v>0.45</v>
      </c>
      <c r="AD7">
        <f t="shared" si="4"/>
        <v>0.27500000000000002</v>
      </c>
      <c r="AE7">
        <f t="shared" si="5"/>
        <v>0.27500000000000002</v>
      </c>
      <c r="AF7">
        <f t="shared" si="6"/>
        <v>0</v>
      </c>
      <c r="AG7">
        <f t="shared" si="7"/>
        <v>2.7</v>
      </c>
      <c r="AH7">
        <f t="shared" si="8"/>
        <v>0.3</v>
      </c>
      <c r="AI7">
        <f t="shared" si="9"/>
        <v>0</v>
      </c>
      <c r="AJ7">
        <f>IF( $AV7=FALSE,VLOOKUP(Properties!$B$4, Confidentiality_Requirement,3,FALSE),0)</f>
        <v>1.51</v>
      </c>
      <c r="AK7">
        <f>IF( $AV7=FALSE,VLOOKUP(Properties!$B$5, Integrity_Requirement,3,FALSE),0)</f>
        <v>1.51</v>
      </c>
      <c r="AL7">
        <f>IF( $AV7=FALSE,VLOOKUP(Properties!$B$6, Availability_Requirement,3,FALSE),0)</f>
        <v>1.51</v>
      </c>
      <c r="AM7" s="14">
        <f t="shared" si="10"/>
        <v>4.9382437499999998</v>
      </c>
      <c r="AN7" s="14">
        <f t="shared" si="11"/>
        <v>2.1685500000000002</v>
      </c>
      <c r="AO7" s="4">
        <f t="shared" si="12"/>
        <v>1.1759999999999999</v>
      </c>
      <c r="AP7" s="15">
        <f t="shared" si="13"/>
        <v>6.9</v>
      </c>
      <c r="AQ7" s="15">
        <f t="shared" si="14"/>
        <v>4.0999999999999996</v>
      </c>
      <c r="AR7" s="15">
        <f t="shared" si="15"/>
        <v>4.0999999999999996</v>
      </c>
      <c r="AS7" s="15">
        <f t="shared" si="16"/>
        <v>5.9</v>
      </c>
      <c r="AT7">
        <f t="shared" si="17"/>
        <v>5.9</v>
      </c>
      <c r="AU7">
        <f t="shared" si="18"/>
        <v>5.9</v>
      </c>
      <c r="AV7" t="b">
        <f>IF(OR(F7="Undefined",H7="Undefined",J7="Undefined",L7="Undefined",N7="Undefined",P7="Undefined",R7="Undefined",T7="Undefined",'Pre-Mitigated VA'!$VA7=TRUE),TRUE, FALSE)</f>
        <v>0</v>
      </c>
      <c r="AW7"/>
      <c r="AX7"/>
      <c r="AY7"/>
      <c r="AZ7"/>
    </row>
    <row r="8" spans="1:52" ht="259.05" customHeight="1" x14ac:dyDescent="0.25">
      <c r="A8" s="38">
        <f>IF(ISBLANK('Pre-Mitigated VA'!A8),"",'Pre-Mitigated VA'!A8)</f>
        <v>3</v>
      </c>
      <c r="B8" s="26" t="str">
        <f>IF(ISBLANK('Pre-Mitigated VA'!B8),"",'Pre-Mitigated VA'!B8)</f>
        <v>Actor Denies Unauthorized System Access or Modification on User Application</v>
      </c>
      <c r="C8" s="26" t="str">
        <f>IF(ISBLANK('Pre-Mitigated VA'!C8),"",'Pre-Mitigated VA'!C8)</f>
        <v>User Input to App - Repudiation</v>
      </c>
      <c r="D8" s="26" t="str">
        <f>IF(ISBLANK('Pre-Mitigated VA'!D8),"",'Pre-Mitigated VA'!D8)</f>
        <v>A safety or security event may occur, such as an adversary accessing or altering data saved in memory, stored respositories or devices, such as User Application, in an unauthorized manner; and the system may fail to capture a means of detecting or verifying the actions that were attempted or performed. An authorized or unauthorized user could deny actions they make.</v>
      </c>
      <c r="E8" s="38" t="str">
        <f>IF(ISBLANK('Pre-Mitigated VA'!E8),"",'Pre-Mitigated VA'!E8)</f>
        <v>No</v>
      </c>
      <c r="F8" s="27" t="s">
        <v>12</v>
      </c>
      <c r="G8" s="27"/>
      <c r="H8" s="27" t="s">
        <v>2</v>
      </c>
      <c r="I8" s="27"/>
      <c r="J8" s="27" t="s">
        <v>55</v>
      </c>
      <c r="K8" s="27"/>
      <c r="L8" s="27" t="s">
        <v>15</v>
      </c>
      <c r="M8" s="27"/>
      <c r="N8" s="27" t="s">
        <v>16</v>
      </c>
      <c r="O8" s="27"/>
      <c r="P8" s="27" t="s">
        <v>15</v>
      </c>
      <c r="Q8" s="27"/>
      <c r="R8" s="31" t="s">
        <v>3</v>
      </c>
      <c r="S8" s="27"/>
      <c r="T8" s="27" t="s">
        <v>15</v>
      </c>
      <c r="U8" s="27"/>
      <c r="V8" s="28">
        <f>'Pre-Mitigated VA'!V8</f>
        <v>8</v>
      </c>
      <c r="W8" s="30">
        <f t="shared" si="0"/>
        <v>2.7</v>
      </c>
      <c r="X8" s="34"/>
      <c r="Y8" s="34" t="s">
        <v>497</v>
      </c>
      <c r="AA8">
        <f t="shared" si="1"/>
        <v>0.39500000000000002</v>
      </c>
      <c r="AB8">
        <f t="shared" si="2"/>
        <v>0.35</v>
      </c>
      <c r="AC8">
        <f t="shared" si="3"/>
        <v>0.45</v>
      </c>
      <c r="AD8">
        <f t="shared" si="4"/>
        <v>0</v>
      </c>
      <c r="AE8">
        <f t="shared" si="5"/>
        <v>0.27500000000000002</v>
      </c>
      <c r="AF8">
        <f t="shared" si="6"/>
        <v>0</v>
      </c>
      <c r="AG8">
        <f t="shared" si="7"/>
        <v>0.8</v>
      </c>
      <c r="AH8">
        <f t="shared" si="8"/>
        <v>0.1</v>
      </c>
      <c r="AI8">
        <f t="shared" si="9"/>
        <v>0</v>
      </c>
      <c r="AJ8">
        <f>IF( $AV8=FALSE,VLOOKUP(Properties!$B$4, Confidentiality_Requirement,3,FALSE),0)</f>
        <v>1.51</v>
      </c>
      <c r="AK8">
        <f>IF( $AV8=FALSE,VLOOKUP(Properties!$B$5, Integrity_Requirement,3,FALSE),0)</f>
        <v>1.51</v>
      </c>
      <c r="AL8">
        <f>IF( $AV8=FALSE,VLOOKUP(Properties!$B$6, Availability_Requirement,3,FALSE),0)</f>
        <v>1.51</v>
      </c>
      <c r="AM8" s="14">
        <f t="shared" si="10"/>
        <v>2.8627500000000001</v>
      </c>
      <c r="AN8" s="14">
        <f t="shared" si="11"/>
        <v>1.2442500000000001</v>
      </c>
      <c r="AO8" s="4">
        <f t="shared" si="12"/>
        <v>1.1759999999999999</v>
      </c>
      <c r="AP8" s="15">
        <f t="shared" si="13"/>
        <v>4.3</v>
      </c>
      <c r="AQ8" s="15">
        <f t="shared" si="14"/>
        <v>1.9</v>
      </c>
      <c r="AR8" s="15">
        <f t="shared" si="15"/>
        <v>1.9</v>
      </c>
      <c r="AS8" s="15">
        <f t="shared" si="16"/>
        <v>2.7</v>
      </c>
      <c r="AT8">
        <f t="shared" si="17"/>
        <v>2.7</v>
      </c>
      <c r="AU8">
        <f t="shared" si="18"/>
        <v>2.7</v>
      </c>
      <c r="AV8" t="b">
        <f>IF(OR(F8="Undefined",H8="Undefined",J8="Undefined",L8="Undefined",N8="Undefined",P8="Undefined",R8="Undefined",T8="Undefined",'Pre-Mitigated VA'!$VA8=TRUE),TRUE, FALSE)</f>
        <v>0</v>
      </c>
      <c r="AW8"/>
      <c r="AX8"/>
      <c r="AY8"/>
      <c r="AZ8"/>
    </row>
    <row r="9" spans="1:52" ht="193.95" customHeight="1" x14ac:dyDescent="0.25">
      <c r="A9" s="38">
        <f>IF(ISBLANK('Pre-Mitigated VA'!A9),"",'Pre-Mitigated VA'!A9)</f>
        <v>4</v>
      </c>
      <c r="B9" s="26" t="str">
        <f>IF(ISBLANK('Pre-Mitigated VA'!B9),"",'Pre-Mitigated VA'!B9)</f>
        <v>Weak Credential Storage and Management on User Application</v>
      </c>
      <c r="C9" s="26" t="str">
        <f>IF(ISBLANK('Pre-Mitigated VA'!C9),"",'Pre-Mitigated VA'!C9)</f>
        <v>User Input to App - Information Disclosure</v>
      </c>
      <c r="D9" s="26" t="str">
        <f>IF(ISBLANK('Pre-Mitigated VA'!D9),"",'Pre-Mitigated VA'!D9)</f>
        <v>Credentials and security secrets that are not properly stored and managed can often be exposed or modified, allowing further unauthorized actions to be performed by adversaries or unauthorized actors.</v>
      </c>
      <c r="E9" s="38" t="str">
        <f>IF(ISBLANK('Pre-Mitigated VA'!E9),"",'Pre-Mitigated VA'!E9)</f>
        <v>Undefined</v>
      </c>
      <c r="F9" s="27" t="s">
        <v>45</v>
      </c>
      <c r="G9" s="27"/>
      <c r="H9" s="27" t="s">
        <v>45</v>
      </c>
      <c r="I9" s="27"/>
      <c r="J9" s="27" t="s">
        <v>45</v>
      </c>
      <c r="K9" s="27"/>
      <c r="L9" s="27" t="s">
        <v>45</v>
      </c>
      <c r="M9" s="27"/>
      <c r="N9" s="27" t="s">
        <v>45</v>
      </c>
      <c r="O9" s="27"/>
      <c r="P9" s="27" t="s">
        <v>45</v>
      </c>
      <c r="Q9" s="27"/>
      <c r="R9" s="31" t="s">
        <v>45</v>
      </c>
      <c r="S9" s="27"/>
      <c r="T9" s="27" t="s">
        <v>15</v>
      </c>
      <c r="U9" s="27"/>
      <c r="V9" s="28" t="str">
        <f>'Pre-Mitigated VA'!V9</f>
        <v>INCOMPLETE</v>
      </c>
      <c r="W9" s="30" t="str">
        <f t="shared" si="0"/>
        <v>INCOMPLETE</v>
      </c>
      <c r="X9" s="34"/>
      <c r="Y9" s="34"/>
      <c r="AA9">
        <f t="shared" si="1"/>
        <v>0</v>
      </c>
      <c r="AB9">
        <f t="shared" si="2"/>
        <v>0</v>
      </c>
      <c r="AC9">
        <f t="shared" si="3"/>
        <v>0</v>
      </c>
      <c r="AD9">
        <f t="shared" si="4"/>
        <v>0</v>
      </c>
      <c r="AE9">
        <f t="shared" si="5"/>
        <v>0</v>
      </c>
      <c r="AF9">
        <f t="shared" si="6"/>
        <v>0</v>
      </c>
      <c r="AG9">
        <f t="shared" si="7"/>
        <v>0</v>
      </c>
      <c r="AH9">
        <f t="shared" si="8"/>
        <v>0</v>
      </c>
      <c r="AI9">
        <f t="shared" si="9"/>
        <v>0</v>
      </c>
      <c r="AJ9">
        <f>IF( $AV9=FALSE,VLOOKUP(Properties!$B$4, Confidentiality_Requirement,3,FALSE),0)</f>
        <v>0</v>
      </c>
      <c r="AK9">
        <f>IF( $AV9=FALSE,VLOOKUP(Properties!$B$5, Integrity_Requirement,3,FALSE),0)</f>
        <v>0</v>
      </c>
      <c r="AL9">
        <f>IF( $AV9=FALSE,VLOOKUP(Properties!$B$6, Availability_Requirement,3,FALSE),0)</f>
        <v>0</v>
      </c>
      <c r="AM9" s="14">
        <f t="shared" si="10"/>
        <v>0</v>
      </c>
      <c r="AN9" s="14">
        <f t="shared" si="11"/>
        <v>0</v>
      </c>
      <c r="AO9" s="4">
        <f t="shared" si="12"/>
        <v>0</v>
      </c>
      <c r="AP9" s="15">
        <f t="shared" si="13"/>
        <v>0</v>
      </c>
      <c r="AQ9" s="15">
        <f t="shared" si="14"/>
        <v>0</v>
      </c>
      <c r="AR9" s="15">
        <f t="shared" si="15"/>
        <v>0</v>
      </c>
      <c r="AS9" s="15">
        <f t="shared" si="16"/>
        <v>0</v>
      </c>
      <c r="AT9">
        <f t="shared" si="17"/>
        <v>0</v>
      </c>
      <c r="AU9">
        <f t="shared" si="18"/>
        <v>0</v>
      </c>
      <c r="AV9" t="b">
        <f>IF(OR(F9="Undefined",H9="Undefined",J9="Undefined",L9="Undefined",N9="Undefined",P9="Undefined",R9="Undefined",T9="Undefined",'Pre-Mitigated VA'!$VA9=TRUE),TRUE, FALSE)</f>
        <v>1</v>
      </c>
      <c r="AW9"/>
      <c r="AX9"/>
      <c r="AY9"/>
      <c r="AZ9"/>
    </row>
    <row r="10" spans="1:52" ht="168.6" customHeight="1" x14ac:dyDescent="0.25">
      <c r="A10" s="38">
        <f>IF(ISBLANK('Pre-Mitigated VA'!A10),"",'Pre-Mitigated VA'!A10)</f>
        <v>5</v>
      </c>
      <c r="B10" s="26" t="str">
        <f>IF(ISBLANK('Pre-Mitigated VA'!B10),"",'Pre-Mitigated VA'!B10)</f>
        <v>Excessive or Uncontrolled Resource Consumption by User Application</v>
      </c>
      <c r="C10" s="26" t="str">
        <f>IF(ISBLANK('Pre-Mitigated VA'!C10),"",'Pre-Mitigated VA'!C10)</f>
        <v>User Input to App - Denial of Service</v>
      </c>
      <c r="D10" s="26" t="str">
        <f>IF(ISBLANK('Pre-Mitigated VA'!D10),"",'Pre-Mitigated VA'!D10)</f>
        <v>Resource consumption attacks can be hard to deal with, and there are times that it makes sense to let the operating system/CPU do the job. Be careful that your resource requests do not deadlock or timeout. Does User Application take explicit steps to control resource consumption?</v>
      </c>
      <c r="E10" s="38" t="str">
        <f>IF(ISBLANK('Pre-Mitigated VA'!E10),"",'Pre-Mitigated VA'!E10)</f>
        <v>Undefined</v>
      </c>
      <c r="F10" s="27" t="s">
        <v>45</v>
      </c>
      <c r="G10" s="27"/>
      <c r="H10" s="27" t="s">
        <v>45</v>
      </c>
      <c r="I10" s="27"/>
      <c r="J10" s="27" t="s">
        <v>45</v>
      </c>
      <c r="K10" s="27"/>
      <c r="L10" s="27" t="s">
        <v>45</v>
      </c>
      <c r="M10" s="27"/>
      <c r="N10" s="27" t="s">
        <v>45</v>
      </c>
      <c r="O10" s="27"/>
      <c r="P10" s="27" t="s">
        <v>45</v>
      </c>
      <c r="Q10" s="27"/>
      <c r="R10" s="31" t="s">
        <v>45</v>
      </c>
      <c r="S10" s="27"/>
      <c r="T10" s="27" t="s">
        <v>15</v>
      </c>
      <c r="U10" s="27"/>
      <c r="V10" s="28" t="str">
        <f>'Pre-Mitigated VA'!V10</f>
        <v>INCOMPLETE</v>
      </c>
      <c r="W10" s="30" t="str">
        <f t="shared" si="0"/>
        <v>INCOMPLETE</v>
      </c>
      <c r="X10" s="34"/>
      <c r="Y10" s="34"/>
      <c r="AA10">
        <f t="shared" si="1"/>
        <v>0</v>
      </c>
      <c r="AB10">
        <f t="shared" si="2"/>
        <v>0</v>
      </c>
      <c r="AC10">
        <f t="shared" si="3"/>
        <v>0</v>
      </c>
      <c r="AD10">
        <f t="shared" si="4"/>
        <v>0</v>
      </c>
      <c r="AE10">
        <f t="shared" si="5"/>
        <v>0</v>
      </c>
      <c r="AF10">
        <f t="shared" si="6"/>
        <v>0</v>
      </c>
      <c r="AG10">
        <f t="shared" si="7"/>
        <v>0</v>
      </c>
      <c r="AH10">
        <f t="shared" si="8"/>
        <v>0</v>
      </c>
      <c r="AI10">
        <f t="shared" si="9"/>
        <v>0</v>
      </c>
      <c r="AJ10">
        <f>IF( $AV10=FALSE,VLOOKUP(Properties!$B$4, Confidentiality_Requirement,3,FALSE),0)</f>
        <v>0</v>
      </c>
      <c r="AK10">
        <f>IF( $AV10=FALSE,VLOOKUP(Properties!$B$5, Integrity_Requirement,3,FALSE),0)</f>
        <v>0</v>
      </c>
      <c r="AL10">
        <f>IF( $AV10=FALSE,VLOOKUP(Properties!$B$6, Availability_Requirement,3,FALSE),0)</f>
        <v>0</v>
      </c>
      <c r="AM10" s="14">
        <f t="shared" si="10"/>
        <v>0</v>
      </c>
      <c r="AN10" s="14">
        <f t="shared" si="11"/>
        <v>0</v>
      </c>
      <c r="AO10" s="4">
        <f t="shared" si="12"/>
        <v>0</v>
      </c>
      <c r="AP10" s="15">
        <f t="shared" si="13"/>
        <v>0</v>
      </c>
      <c r="AQ10" s="15">
        <f t="shared" si="14"/>
        <v>0</v>
      </c>
      <c r="AR10" s="15">
        <f t="shared" si="15"/>
        <v>0</v>
      </c>
      <c r="AS10" s="15">
        <f t="shared" si="16"/>
        <v>0</v>
      </c>
      <c r="AT10">
        <f t="shared" si="17"/>
        <v>0</v>
      </c>
      <c r="AU10">
        <f t="shared" si="18"/>
        <v>0</v>
      </c>
      <c r="AV10" t="b">
        <f>IF(OR(F10="Undefined",H10="Undefined",J10="Undefined",L10="Undefined",N10="Undefined",P10="Undefined",R10="Undefined",T10="Undefined",'Pre-Mitigated VA'!$VA10=TRUE),TRUE, FALSE)</f>
        <v>1</v>
      </c>
      <c r="AW10"/>
      <c r="AX10"/>
      <c r="AY10"/>
      <c r="AZ10"/>
    </row>
    <row r="11" spans="1:52" ht="115.05" customHeight="1" x14ac:dyDescent="0.25">
      <c r="A11" s="38">
        <f>IF(ISBLANK('Pre-Mitigated VA'!A11),"",'Pre-Mitigated VA'!A11)</f>
        <v>6</v>
      </c>
      <c r="B11" s="26" t="str">
        <f>IF(ISBLANK('Pre-Mitigated VA'!B11),"",'Pre-Mitigated VA'!B11)</f>
        <v>Unnecessary and Unused Privileged Features or Services</v>
      </c>
      <c r="C11" s="26" t="str">
        <f>IF(ISBLANK('Pre-Mitigated VA'!C11),"",'Pre-Mitigated VA'!C11)</f>
        <v>User Input to App - Elevation of Privileges</v>
      </c>
      <c r="D11" s="26" t="str">
        <f>IF(ISBLANK('Pre-Mitigated VA'!D11),"",'Pre-Mitigated VA'!D11)</f>
        <v>An adversary may utilize unused features or privileged services on User Application, such as the user interface, USB and other ports, manufacturing features, platform features like camera, microphone or location services, etc. Unused features increase the attack surface and serve as additional entry points for the adversary.</v>
      </c>
      <c r="E11" s="38" t="str">
        <f>IF(ISBLANK('Pre-Mitigated VA'!E11),"",'Pre-Mitigated VA'!E11)</f>
        <v>Yes</v>
      </c>
      <c r="F11" s="27" t="s">
        <v>12</v>
      </c>
      <c r="G11" s="27"/>
      <c r="H11" s="27" t="s">
        <v>11</v>
      </c>
      <c r="I11" s="27"/>
      <c r="J11" s="27" t="s">
        <v>55</v>
      </c>
      <c r="K11" s="27"/>
      <c r="L11" s="27" t="s">
        <v>16</v>
      </c>
      <c r="M11" s="27"/>
      <c r="N11" s="27" t="s">
        <v>15</v>
      </c>
      <c r="O11" s="27"/>
      <c r="P11" s="27" t="s">
        <v>15</v>
      </c>
      <c r="Q11" s="27"/>
      <c r="R11" s="31" t="s">
        <v>3</v>
      </c>
      <c r="S11" s="27"/>
      <c r="T11" s="27" t="s">
        <v>15</v>
      </c>
      <c r="U11" s="27"/>
      <c r="V11" s="28">
        <f>'Pre-Mitigated VA'!V11</f>
        <v>7.8</v>
      </c>
      <c r="W11" s="30">
        <f t="shared" si="0"/>
        <v>3.1</v>
      </c>
      <c r="X11" s="34"/>
      <c r="Y11" s="34" t="s">
        <v>467</v>
      </c>
      <c r="AA11">
        <f t="shared" si="1"/>
        <v>0.39500000000000002</v>
      </c>
      <c r="AB11">
        <f t="shared" si="2"/>
        <v>0.61</v>
      </c>
      <c r="AC11">
        <f t="shared" si="3"/>
        <v>0.45</v>
      </c>
      <c r="AD11">
        <f t="shared" si="4"/>
        <v>0.27500000000000002</v>
      </c>
      <c r="AE11">
        <f t="shared" si="5"/>
        <v>0</v>
      </c>
      <c r="AF11">
        <f t="shared" si="6"/>
        <v>0</v>
      </c>
      <c r="AG11">
        <f t="shared" si="7"/>
        <v>1.3</v>
      </c>
      <c r="AH11">
        <f t="shared" si="8"/>
        <v>0.1</v>
      </c>
      <c r="AI11">
        <f t="shared" si="9"/>
        <v>0</v>
      </c>
      <c r="AJ11">
        <f>IF( $AV11=FALSE,VLOOKUP(Properties!$B$4, Confidentiality_Requirement,3,FALSE),0)</f>
        <v>1.51</v>
      </c>
      <c r="AK11">
        <f>IF( $AV11=FALSE,VLOOKUP(Properties!$B$5, Integrity_Requirement,3,FALSE),0)</f>
        <v>1.51</v>
      </c>
      <c r="AL11">
        <f>IF( $AV11=FALSE,VLOOKUP(Properties!$B$6, Availability_Requirement,3,FALSE),0)</f>
        <v>1.51</v>
      </c>
      <c r="AM11" s="14">
        <f t="shared" si="10"/>
        <v>2.8627500000000001</v>
      </c>
      <c r="AN11" s="14">
        <f t="shared" si="11"/>
        <v>2.1685500000000002</v>
      </c>
      <c r="AO11" s="4">
        <f t="shared" si="12"/>
        <v>1.1759999999999999</v>
      </c>
      <c r="AP11" s="15">
        <f t="shared" si="13"/>
        <v>4.3</v>
      </c>
      <c r="AQ11" s="15">
        <f t="shared" si="14"/>
        <v>2.2999999999999998</v>
      </c>
      <c r="AR11" s="15">
        <f t="shared" si="15"/>
        <v>2.2999999999999998</v>
      </c>
      <c r="AS11" s="15">
        <f t="shared" si="16"/>
        <v>3.1</v>
      </c>
      <c r="AT11">
        <f t="shared" si="17"/>
        <v>3.1</v>
      </c>
      <c r="AU11">
        <f t="shared" si="18"/>
        <v>3.1</v>
      </c>
      <c r="AV11" t="b">
        <f>IF(OR(F11="Undefined",H11="Undefined",J11="Undefined",L11="Undefined",N11="Undefined",P11="Undefined",R11="Undefined",T11="Undefined",'Pre-Mitigated VA'!$VA11=TRUE),TRUE, FALSE)</f>
        <v>0</v>
      </c>
      <c r="AW11"/>
      <c r="AX11"/>
      <c r="AY11"/>
      <c r="AZ11"/>
    </row>
    <row r="12" spans="1:52" ht="312" customHeight="1" x14ac:dyDescent="0.25">
      <c r="A12" s="38">
        <f>IF(ISBLANK('Pre-Mitigated VA'!A12),"",'Pre-Mitigated VA'!A12)</f>
        <v>7</v>
      </c>
      <c r="B12" s="26" t="str">
        <f>IF(ISBLANK('Pre-Mitigated VA'!B12),"",'Pre-Mitigated VA'!B12)</f>
        <v>Weak Authentication and/or Authorization Schema</v>
      </c>
      <c r="C12" s="26" t="str">
        <f>IF(ISBLANK('Pre-Mitigated VA'!C12),"",'Pre-Mitigated VA'!C12)</f>
        <v>User Input to App - Elevation of Privileges</v>
      </c>
      <c r="D12" s="26" t="str">
        <f>IF(ISBLANK('Pre-Mitigated VA'!D12),"",'Pre-Mitigated VA'!D12)</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12" s="38" t="str">
        <f>IF(ISBLANK('Pre-Mitigated VA'!E12),"",'Pre-Mitigated VA'!E12)</f>
        <v>Undefined</v>
      </c>
      <c r="F12" s="27" t="s">
        <v>45</v>
      </c>
      <c r="G12" s="27"/>
      <c r="H12" s="27" t="s">
        <v>45</v>
      </c>
      <c r="I12" s="27"/>
      <c r="J12" s="27" t="s">
        <v>45</v>
      </c>
      <c r="K12" s="27"/>
      <c r="L12" s="27" t="s">
        <v>45</v>
      </c>
      <c r="M12" s="27"/>
      <c r="N12" s="27" t="s">
        <v>45</v>
      </c>
      <c r="O12" s="27"/>
      <c r="P12" s="27" t="s">
        <v>45</v>
      </c>
      <c r="Q12" s="27"/>
      <c r="R12" s="31" t="s">
        <v>45</v>
      </c>
      <c r="S12" s="27"/>
      <c r="T12" s="27" t="s">
        <v>15</v>
      </c>
      <c r="U12" s="27"/>
      <c r="V12" s="28" t="str">
        <f>'Pre-Mitigated VA'!V12</f>
        <v>INCOMPLETE</v>
      </c>
      <c r="W12" s="30" t="str">
        <f t="shared" si="0"/>
        <v>INCOMPLETE</v>
      </c>
      <c r="X12" s="34"/>
      <c r="Y12" s="34"/>
      <c r="AA12">
        <f t="shared" si="1"/>
        <v>0</v>
      </c>
      <c r="AB12">
        <f t="shared" si="2"/>
        <v>0</v>
      </c>
      <c r="AC12">
        <f t="shared" si="3"/>
        <v>0</v>
      </c>
      <c r="AD12">
        <f t="shared" si="4"/>
        <v>0</v>
      </c>
      <c r="AE12">
        <f t="shared" si="5"/>
        <v>0</v>
      </c>
      <c r="AF12">
        <f t="shared" si="6"/>
        <v>0</v>
      </c>
      <c r="AG12">
        <f t="shared" si="7"/>
        <v>0</v>
      </c>
      <c r="AH12">
        <f t="shared" si="8"/>
        <v>0</v>
      </c>
      <c r="AI12">
        <f t="shared" si="9"/>
        <v>0</v>
      </c>
      <c r="AJ12">
        <f>IF( $AV12=FALSE,VLOOKUP(Properties!$B$4, Confidentiality_Requirement,3,FALSE),0)</f>
        <v>0</v>
      </c>
      <c r="AK12">
        <f>IF( $AV12=FALSE,VLOOKUP(Properties!$B$5, Integrity_Requirement,3,FALSE),0)</f>
        <v>0</v>
      </c>
      <c r="AL12">
        <f>IF( $AV12=FALSE,VLOOKUP(Properties!$B$6, Availability_Requirement,3,FALSE),0)</f>
        <v>0</v>
      </c>
      <c r="AM12" s="14">
        <f t="shared" si="10"/>
        <v>0</v>
      </c>
      <c r="AN12" s="14">
        <f t="shared" si="11"/>
        <v>0</v>
      </c>
      <c r="AO12" s="4">
        <f t="shared" si="12"/>
        <v>0</v>
      </c>
      <c r="AP12" s="15">
        <f t="shared" si="13"/>
        <v>0</v>
      </c>
      <c r="AQ12" s="15">
        <f t="shared" si="14"/>
        <v>0</v>
      </c>
      <c r="AR12" s="15">
        <f t="shared" si="15"/>
        <v>0</v>
      </c>
      <c r="AS12" s="15">
        <f t="shared" si="16"/>
        <v>0</v>
      </c>
      <c r="AT12">
        <f t="shared" si="17"/>
        <v>0</v>
      </c>
      <c r="AU12">
        <f t="shared" si="18"/>
        <v>0</v>
      </c>
      <c r="AV12" t="b">
        <f>IF(OR(F12="Undefined",H12="Undefined",J12="Undefined",L12="Undefined",N12="Undefined",P12="Undefined",R12="Undefined",T12="Undefined",'Pre-Mitigated VA'!$VA12=TRUE),TRUE, FALSE)</f>
        <v>1</v>
      </c>
      <c r="AW12"/>
      <c r="AX12"/>
      <c r="AY12"/>
      <c r="AZ12"/>
    </row>
    <row r="13" spans="1:52" ht="141" customHeight="1" x14ac:dyDescent="0.25">
      <c r="A13" s="38">
        <f>IF(ISBLANK('Pre-Mitigated VA'!A13),"",'Pre-Mitigated VA'!A13)</f>
        <v>8</v>
      </c>
      <c r="B13" s="26" t="str">
        <f>IF(ISBLANK('Pre-Mitigated VA'!B13),"",'Pre-Mitigated VA'!B13)</f>
        <v>Misrepresentation of Critical Information on User Interface</v>
      </c>
      <c r="C13" s="26" t="str">
        <f>IF(ISBLANK('Pre-Mitigated VA'!C13),"",'Pre-Mitigated VA'!C13)</f>
        <v>User Output from App - Tampering</v>
      </c>
      <c r="D13" s="26" t="str">
        <f>IF(ISBLANK('Pre-Mitigated VA'!D13),"",'Pre-Mitigated VA'!D13)</f>
        <v>An adversary can cause the User Interface on User Application to misrepresent information to the user, which can influence the user to perform erroneous actions or fail to notify the user with important information.</v>
      </c>
      <c r="E13" s="38" t="str">
        <f>IF(ISBLANK('Pre-Mitigated VA'!E13),"",'Pre-Mitigated VA'!E13)</f>
        <v>No</v>
      </c>
      <c r="F13" s="27" t="s">
        <v>13</v>
      </c>
      <c r="G13" s="27"/>
      <c r="H13" s="27" t="s">
        <v>2</v>
      </c>
      <c r="I13" s="27"/>
      <c r="J13" s="27" t="s">
        <v>55</v>
      </c>
      <c r="K13" s="27"/>
      <c r="L13" s="27" t="s">
        <v>15</v>
      </c>
      <c r="M13" s="27"/>
      <c r="N13" s="27" t="s">
        <v>16</v>
      </c>
      <c r="O13" s="27"/>
      <c r="P13" s="27" t="s">
        <v>15</v>
      </c>
      <c r="Q13" s="27"/>
      <c r="R13" s="31" t="s">
        <v>3</v>
      </c>
      <c r="S13" s="27"/>
      <c r="T13" s="27" t="s">
        <v>15</v>
      </c>
      <c r="U13" s="27"/>
      <c r="V13" s="28">
        <f>'Pre-Mitigated VA'!V13</f>
        <v>7.2</v>
      </c>
      <c r="W13" s="30">
        <f t="shared" si="0"/>
        <v>3</v>
      </c>
      <c r="X13" s="34"/>
      <c r="Y13" s="34" t="s">
        <v>468</v>
      </c>
      <c r="AA13">
        <f t="shared" si="1"/>
        <v>0.64600000000000002</v>
      </c>
      <c r="AB13">
        <f t="shared" si="2"/>
        <v>0.35</v>
      </c>
      <c r="AC13">
        <f t="shared" si="3"/>
        <v>0.45</v>
      </c>
      <c r="AD13">
        <f t="shared" si="4"/>
        <v>0</v>
      </c>
      <c r="AE13">
        <f t="shared" si="5"/>
        <v>0.27500000000000002</v>
      </c>
      <c r="AF13">
        <f t="shared" si="6"/>
        <v>0</v>
      </c>
      <c r="AG13">
        <f t="shared" si="7"/>
        <v>1.2</v>
      </c>
      <c r="AH13">
        <f t="shared" si="8"/>
        <v>0.1</v>
      </c>
      <c r="AI13">
        <f t="shared" si="9"/>
        <v>0</v>
      </c>
      <c r="AJ13">
        <f>IF( $AV13=FALSE,VLOOKUP(Properties!$B$4, Confidentiality_Requirement,3,FALSE),0)</f>
        <v>1.51</v>
      </c>
      <c r="AK13">
        <f>IF( $AV13=FALSE,VLOOKUP(Properties!$B$5, Integrity_Requirement,3,FALSE),0)</f>
        <v>1.51</v>
      </c>
      <c r="AL13">
        <f>IF( $AV13=FALSE,VLOOKUP(Properties!$B$6, Availability_Requirement,3,FALSE),0)</f>
        <v>1.51</v>
      </c>
      <c r="AM13" s="14">
        <f t="shared" si="10"/>
        <v>2.8627500000000001</v>
      </c>
      <c r="AN13" s="14">
        <f t="shared" si="11"/>
        <v>2.0348999999999999</v>
      </c>
      <c r="AO13" s="4">
        <f t="shared" si="12"/>
        <v>1.1759999999999999</v>
      </c>
      <c r="AP13" s="15">
        <f t="shared" si="13"/>
        <v>4.3</v>
      </c>
      <c r="AQ13" s="15">
        <f t="shared" si="14"/>
        <v>2.2000000000000002</v>
      </c>
      <c r="AR13" s="15">
        <f t="shared" si="15"/>
        <v>2.2000000000000002</v>
      </c>
      <c r="AS13" s="15">
        <f t="shared" si="16"/>
        <v>3</v>
      </c>
      <c r="AT13">
        <f t="shared" si="17"/>
        <v>3</v>
      </c>
      <c r="AU13">
        <f t="shared" si="18"/>
        <v>3</v>
      </c>
      <c r="AV13" t="b">
        <f>IF(OR(F13="Undefined",H13="Undefined",J13="Undefined",L13="Undefined",N13="Undefined",P13="Undefined",R13="Undefined",T13="Undefined",'Pre-Mitigated VA'!$VA13=TRUE),TRUE, FALSE)</f>
        <v>0</v>
      </c>
      <c r="AW13"/>
      <c r="AX13"/>
      <c r="AY13"/>
      <c r="AZ13"/>
    </row>
    <row r="14" spans="1:52" ht="76.05" customHeight="1" x14ac:dyDescent="0.25">
      <c r="A14" s="38">
        <f>IF(ISBLANK('Pre-Mitigated VA'!A14),"",'Pre-Mitigated VA'!A14)</f>
        <v>29</v>
      </c>
      <c r="B14" s="26" t="str">
        <f>IF(ISBLANK('Pre-Mitigated VA'!B14),"",'Pre-Mitigated VA'!B14)</f>
        <v xml:space="preserve">Spoofed Communication on ZigBee in to ZigBee or Spoofed Device User Device Zigbee Module </v>
      </c>
      <c r="C14" s="26" t="str">
        <f>IF(ISBLANK('Pre-Mitigated VA'!C14),"",'Pre-Mitigated VA'!C14)</f>
        <v>ZigBee in to ZigBee - Spoofing</v>
      </c>
      <c r="D14" s="26" t="str">
        <f>IF(ISBLANK('Pre-Mitigated VA'!D14),"",'Pre-Mitigated VA'!D14)</f>
        <v>The wired or wireless connection, ZigBee in to ZigBee, is replaced with an adversary's spoofed implementation, or User Device Zigbee Module , the source of data communicated over ZigBee in to ZigBee, is not properly authenticated and verified.</v>
      </c>
      <c r="E14" s="38" t="str">
        <f>IF(ISBLANK('Pre-Mitigated VA'!E14),"",'Pre-Mitigated VA'!E14)</f>
        <v>No</v>
      </c>
      <c r="F14" s="27" t="s">
        <v>13</v>
      </c>
      <c r="G14" s="27"/>
      <c r="H14" s="27" t="s">
        <v>2</v>
      </c>
      <c r="I14" s="27"/>
      <c r="J14" s="27" t="s">
        <v>55</v>
      </c>
      <c r="K14" s="27"/>
      <c r="L14" s="27" t="s">
        <v>16</v>
      </c>
      <c r="M14" s="27"/>
      <c r="N14" s="27" t="s">
        <v>15</v>
      </c>
      <c r="O14" s="27"/>
      <c r="P14" s="27" t="s">
        <v>15</v>
      </c>
      <c r="Q14" s="27"/>
      <c r="R14" s="31" t="s">
        <v>3</v>
      </c>
      <c r="S14" s="27"/>
      <c r="T14" s="27" t="s">
        <v>15</v>
      </c>
      <c r="U14" s="27"/>
      <c r="V14" s="28">
        <f>'Pre-Mitigated VA'!V14</f>
        <v>8</v>
      </c>
      <c r="W14" s="30">
        <f t="shared" si="0"/>
        <v>3</v>
      </c>
      <c r="X14" s="34"/>
      <c r="Y14" s="34" t="s">
        <v>498</v>
      </c>
      <c r="AA14">
        <f t="shared" si="1"/>
        <v>0.64600000000000002</v>
      </c>
      <c r="AB14">
        <f t="shared" si="2"/>
        <v>0.35</v>
      </c>
      <c r="AC14">
        <f t="shared" si="3"/>
        <v>0.45</v>
      </c>
      <c r="AD14">
        <f t="shared" si="4"/>
        <v>0.27500000000000002</v>
      </c>
      <c r="AE14">
        <f t="shared" si="5"/>
        <v>0</v>
      </c>
      <c r="AF14">
        <f t="shared" si="6"/>
        <v>0</v>
      </c>
      <c r="AG14">
        <f t="shared" si="7"/>
        <v>1.2</v>
      </c>
      <c r="AH14">
        <f t="shared" si="8"/>
        <v>0.1</v>
      </c>
      <c r="AI14">
        <f t="shared" si="9"/>
        <v>0</v>
      </c>
      <c r="AJ14">
        <f>IF( $AV14=FALSE,VLOOKUP(Properties!$B$4, Confidentiality_Requirement,3,FALSE),0)</f>
        <v>1.51</v>
      </c>
      <c r="AK14">
        <f>IF( $AV14=FALSE,VLOOKUP(Properties!$B$5, Integrity_Requirement,3,FALSE),0)</f>
        <v>1.51</v>
      </c>
      <c r="AL14">
        <f>IF( $AV14=FALSE,VLOOKUP(Properties!$B$6, Availability_Requirement,3,FALSE),0)</f>
        <v>1.51</v>
      </c>
      <c r="AM14" s="14">
        <f t="shared" si="10"/>
        <v>2.8627500000000001</v>
      </c>
      <c r="AN14" s="14">
        <f t="shared" si="11"/>
        <v>2.0348999999999999</v>
      </c>
      <c r="AO14" s="4">
        <f t="shared" si="12"/>
        <v>1.1759999999999999</v>
      </c>
      <c r="AP14" s="15">
        <f t="shared" si="13"/>
        <v>4.3</v>
      </c>
      <c r="AQ14" s="15">
        <f t="shared" si="14"/>
        <v>2.2000000000000002</v>
      </c>
      <c r="AR14" s="15">
        <f t="shared" si="15"/>
        <v>2.2000000000000002</v>
      </c>
      <c r="AS14" s="15">
        <f t="shared" si="16"/>
        <v>3</v>
      </c>
      <c r="AT14">
        <f t="shared" si="17"/>
        <v>3</v>
      </c>
      <c r="AU14">
        <f t="shared" si="18"/>
        <v>3</v>
      </c>
      <c r="AV14" t="b">
        <f>IF(OR(F14="Undefined",H14="Undefined",J14="Undefined",L14="Undefined",N14="Undefined",P14="Undefined",R14="Undefined",T14="Undefined",'Pre-Mitigated VA'!$VA14=TRUE),TRUE, FALSE)</f>
        <v>0</v>
      </c>
      <c r="AW14"/>
      <c r="AX14"/>
      <c r="AY14"/>
      <c r="AZ14"/>
    </row>
    <row r="15" spans="1:52" ht="193.95" customHeight="1" x14ac:dyDescent="0.25">
      <c r="A15" s="38">
        <f>IF(ISBLANK('Pre-Mitigated VA'!A15),"",'Pre-Mitigated VA'!A15)</f>
        <v>30</v>
      </c>
      <c r="B15" s="26" t="str">
        <f>IF(ISBLANK('Pre-Mitigated VA'!B15),"",'Pre-Mitigated VA'!B15)</f>
        <v>Tampering with Communicated Data on ZigBee in to ZigBee</v>
      </c>
      <c r="C15" s="26" t="str">
        <f>IF(ISBLANK('Pre-Mitigated VA'!C15),"",'Pre-Mitigated VA'!C15)</f>
        <v>ZigBee in to ZigBee - Tampering</v>
      </c>
      <c r="D15" s="26" t="str">
        <f>IF(ISBLANK('Pre-Mitigated VA'!D15),"",'Pre-Mitigated VA'!D15)</f>
        <v>An adversary may tamper with communicated data on ZigBee in to ZigBee, and if data are not properly verified for integrity prior to accepting or acting upon the data, then the system may behave in an unintended manner.</v>
      </c>
      <c r="E15" s="38" t="str">
        <f>IF(ISBLANK('Pre-Mitigated VA'!E15),"",'Pre-Mitigated VA'!E15)</f>
        <v>Yes</v>
      </c>
      <c r="F15" s="27" t="s">
        <v>13</v>
      </c>
      <c r="G15" s="27"/>
      <c r="H15" s="27" t="s">
        <v>2</v>
      </c>
      <c r="I15" s="27"/>
      <c r="J15" s="27" t="s">
        <v>55</v>
      </c>
      <c r="K15" s="27"/>
      <c r="L15" s="27" t="s">
        <v>15</v>
      </c>
      <c r="M15" s="27"/>
      <c r="N15" s="27" t="s">
        <v>15</v>
      </c>
      <c r="O15" s="27"/>
      <c r="P15" s="27" t="s">
        <v>16</v>
      </c>
      <c r="Q15" s="27"/>
      <c r="R15" s="31" t="s">
        <v>3</v>
      </c>
      <c r="S15" s="27"/>
      <c r="T15" s="27" t="s">
        <v>15</v>
      </c>
      <c r="U15" s="27"/>
      <c r="V15" s="28">
        <f>'Pre-Mitigated VA'!V15</f>
        <v>8.1999999999999993</v>
      </c>
      <c r="W15" s="30">
        <f t="shared" si="0"/>
        <v>3</v>
      </c>
      <c r="X15" s="34" t="s">
        <v>470</v>
      </c>
      <c r="Y15" s="34" t="s">
        <v>469</v>
      </c>
      <c r="AA15">
        <f t="shared" si="1"/>
        <v>0.64600000000000002</v>
      </c>
      <c r="AB15">
        <f t="shared" si="2"/>
        <v>0.35</v>
      </c>
      <c r="AC15">
        <f t="shared" si="3"/>
        <v>0.45</v>
      </c>
      <c r="AD15">
        <f t="shared" si="4"/>
        <v>0</v>
      </c>
      <c r="AE15">
        <f t="shared" si="5"/>
        <v>0</v>
      </c>
      <c r="AF15">
        <f t="shared" si="6"/>
        <v>0.27500000000000002</v>
      </c>
      <c r="AG15">
        <f t="shared" si="7"/>
        <v>1.2</v>
      </c>
      <c r="AH15">
        <f t="shared" si="8"/>
        <v>0.1</v>
      </c>
      <c r="AI15">
        <f t="shared" si="9"/>
        <v>0</v>
      </c>
      <c r="AJ15">
        <f>IF( $AV15=FALSE,VLOOKUP(Properties!$B$4, Confidentiality_Requirement,3,FALSE),0)</f>
        <v>1.51</v>
      </c>
      <c r="AK15">
        <f>IF( $AV15=FALSE,VLOOKUP(Properties!$B$5, Integrity_Requirement,3,FALSE),0)</f>
        <v>1.51</v>
      </c>
      <c r="AL15">
        <f>IF( $AV15=FALSE,VLOOKUP(Properties!$B$6, Availability_Requirement,3,FALSE),0)</f>
        <v>1.51</v>
      </c>
      <c r="AM15" s="14">
        <f t="shared" si="10"/>
        <v>2.8627500000000001</v>
      </c>
      <c r="AN15" s="14">
        <f t="shared" si="11"/>
        <v>2.0348999999999999</v>
      </c>
      <c r="AO15" s="4">
        <f t="shared" si="12"/>
        <v>1.1759999999999999</v>
      </c>
      <c r="AP15" s="15">
        <f t="shared" si="13"/>
        <v>4.3</v>
      </c>
      <c r="AQ15" s="15">
        <f t="shared" si="14"/>
        <v>2.2000000000000002</v>
      </c>
      <c r="AR15" s="15">
        <f t="shared" si="15"/>
        <v>2.2000000000000002</v>
      </c>
      <c r="AS15" s="15">
        <f t="shared" si="16"/>
        <v>3</v>
      </c>
      <c r="AT15">
        <f t="shared" si="17"/>
        <v>3</v>
      </c>
      <c r="AU15">
        <f t="shared" si="18"/>
        <v>3</v>
      </c>
      <c r="AV15" t="b">
        <f>IF(OR(F15="Undefined",H15="Undefined",J15="Undefined",L15="Undefined",N15="Undefined",P15="Undefined",R15="Undefined",T15="Undefined",'Pre-Mitigated VA'!$VA15=TRUE),TRUE, FALSE)</f>
        <v>0</v>
      </c>
      <c r="AW15"/>
      <c r="AX15"/>
      <c r="AY15"/>
      <c r="AZ15"/>
    </row>
    <row r="16" spans="1:52" ht="115.05" customHeight="1" x14ac:dyDescent="0.25">
      <c r="A16" s="38">
        <f>IF(ISBLANK('Pre-Mitigated VA'!A16),"",'Pre-Mitigated VA'!A16)</f>
        <v>31</v>
      </c>
      <c r="B16" s="26" t="str">
        <f>IF(ISBLANK('Pre-Mitigated VA'!B16),"",'Pre-Mitigated VA'!B16)</f>
        <v>Sniffing Network Traffic from User Device Zigbee Module  on ZigBee in to ZigBee</v>
      </c>
      <c r="C16" s="26" t="str">
        <f>IF(ISBLANK('Pre-Mitigated VA'!C16),"",'Pre-Mitigated VA'!C16)</f>
        <v>ZigBee in to ZigBee - Information Disclosure</v>
      </c>
      <c r="D16" s="26" t="str">
        <f>IF(ISBLANK('Pre-Mitigated VA'!D16),"",'Pre-Mitigated VA'!D16)</f>
        <v>An adversary or unauthorized third-party can gain access to sensitive data in an unauthorized manner by sniffing or intercepting network traffic on ZigBee in to ZigBee from User Device Zigbee Module  as it is being communicated to Lock Zigbee Module  due to a lack of data confidentiality protections.</v>
      </c>
      <c r="E16" s="38" t="str">
        <f>IF(ISBLANK('Pre-Mitigated VA'!E16),"",'Pre-Mitigated VA'!E16)</f>
        <v>Undefined</v>
      </c>
      <c r="F16" s="27" t="s">
        <v>45</v>
      </c>
      <c r="G16" s="27"/>
      <c r="H16" s="27" t="s">
        <v>45</v>
      </c>
      <c r="I16" s="27"/>
      <c r="J16" s="27" t="s">
        <v>45</v>
      </c>
      <c r="K16" s="27"/>
      <c r="L16" s="27" t="s">
        <v>45</v>
      </c>
      <c r="M16" s="27"/>
      <c r="N16" s="27" t="s">
        <v>45</v>
      </c>
      <c r="O16" s="27"/>
      <c r="P16" s="27" t="s">
        <v>45</v>
      </c>
      <c r="Q16" s="27"/>
      <c r="R16" s="31" t="s">
        <v>45</v>
      </c>
      <c r="S16" s="27"/>
      <c r="T16" s="27" t="s">
        <v>15</v>
      </c>
      <c r="U16" s="27"/>
      <c r="V16" s="28" t="str">
        <f>'Pre-Mitigated VA'!V16</f>
        <v>INCOMPLETE</v>
      </c>
      <c r="W16" s="30" t="str">
        <f t="shared" si="0"/>
        <v>INCOMPLETE</v>
      </c>
      <c r="X16" s="34"/>
      <c r="Y16" s="34"/>
      <c r="AA16">
        <f t="shared" si="1"/>
        <v>0</v>
      </c>
      <c r="AB16">
        <f t="shared" si="2"/>
        <v>0</v>
      </c>
      <c r="AC16">
        <f t="shared" si="3"/>
        <v>0</v>
      </c>
      <c r="AD16">
        <f t="shared" si="4"/>
        <v>0</v>
      </c>
      <c r="AE16">
        <f t="shared" si="5"/>
        <v>0</v>
      </c>
      <c r="AF16">
        <f t="shared" si="6"/>
        <v>0</v>
      </c>
      <c r="AG16">
        <f t="shared" si="7"/>
        <v>0</v>
      </c>
      <c r="AH16">
        <f t="shared" si="8"/>
        <v>0</v>
      </c>
      <c r="AI16">
        <f t="shared" si="9"/>
        <v>0</v>
      </c>
      <c r="AJ16">
        <f>IF( $AV16=FALSE,VLOOKUP(Properties!$B$4, Confidentiality_Requirement,3,FALSE),0)</f>
        <v>0</v>
      </c>
      <c r="AK16">
        <f>IF( $AV16=FALSE,VLOOKUP(Properties!$B$5, Integrity_Requirement,3,FALSE),0)</f>
        <v>0</v>
      </c>
      <c r="AL16">
        <f>IF( $AV16=FALSE,VLOOKUP(Properties!$B$6, Availability_Requirement,3,FALSE),0)</f>
        <v>0</v>
      </c>
      <c r="AM16" s="14">
        <f t="shared" si="10"/>
        <v>0</v>
      </c>
      <c r="AN16" s="14">
        <f t="shared" si="11"/>
        <v>0</v>
      </c>
      <c r="AO16" s="4">
        <f t="shared" si="12"/>
        <v>0</v>
      </c>
      <c r="AP16" s="15">
        <f t="shared" si="13"/>
        <v>0</v>
      </c>
      <c r="AQ16" s="15">
        <f t="shared" si="14"/>
        <v>0</v>
      </c>
      <c r="AR16" s="15">
        <f t="shared" si="15"/>
        <v>0</v>
      </c>
      <c r="AS16" s="15">
        <f t="shared" si="16"/>
        <v>0</v>
      </c>
      <c r="AT16">
        <f t="shared" si="17"/>
        <v>0</v>
      </c>
      <c r="AU16">
        <f t="shared" si="18"/>
        <v>0</v>
      </c>
      <c r="AV16" t="b">
        <f>IF(OR(F16="Undefined",H16="Undefined",J16="Undefined",L16="Undefined",N16="Undefined",P16="Undefined",R16="Undefined",T16="Undefined",'Pre-Mitigated VA'!$VA16=TRUE),TRUE, FALSE)</f>
        <v>1</v>
      </c>
      <c r="AW16"/>
      <c r="AX16"/>
      <c r="AY16"/>
      <c r="AZ16"/>
    </row>
    <row r="17" spans="1:52" ht="73.95" customHeight="1" x14ac:dyDescent="0.25">
      <c r="A17" s="38">
        <f>IF(ISBLANK('Pre-Mitigated VA'!A17),"",'Pre-Mitigated VA'!A17)</f>
        <v>32</v>
      </c>
      <c r="B17" s="26" t="str">
        <f>IF(ISBLANK('Pre-Mitigated VA'!B17),"",'Pre-Mitigated VA'!B17)</f>
        <v>Interference or Jamming of Wireless Connections on ZigBee in to ZigBee</v>
      </c>
      <c r="C17" s="26" t="str">
        <f>IF(ISBLANK('Pre-Mitigated VA'!C17),"",'Pre-Mitigated VA'!C17)</f>
        <v>ZigBee in to ZigBee - Denial of Service</v>
      </c>
      <c r="D17" s="26" t="str">
        <f>IF(ISBLANK('Pre-Mitigated VA'!D17),"",'Pre-Mitigated VA'!D17)</f>
        <v xml:space="preserve">Medical components connecting via any form of wireless networking, such as ZigBee in to ZigBee, must consider radio frequency interference or jamming scenarios. Components with urgent usage scenarios should consider providing a back-up wired option to avoid scenarios involving wireless jamming. </v>
      </c>
      <c r="E17" s="38" t="str">
        <f>IF(ISBLANK('Pre-Mitigated VA'!E17),"",'Pre-Mitigated VA'!E17)</f>
        <v>No</v>
      </c>
      <c r="F17" s="27" t="s">
        <v>13</v>
      </c>
      <c r="G17" s="27"/>
      <c r="H17" s="27" t="s">
        <v>3</v>
      </c>
      <c r="I17" s="27"/>
      <c r="J17" s="27" t="s">
        <v>15</v>
      </c>
      <c r="K17" s="27"/>
      <c r="L17" s="27" t="s">
        <v>15</v>
      </c>
      <c r="M17" s="27"/>
      <c r="N17" s="27" t="s">
        <v>15</v>
      </c>
      <c r="O17" s="27"/>
      <c r="P17" s="27" t="s">
        <v>17</v>
      </c>
      <c r="Q17" s="27"/>
      <c r="R17" s="31" t="s">
        <v>3</v>
      </c>
      <c r="S17" s="27"/>
      <c r="T17" s="27" t="s">
        <v>15</v>
      </c>
      <c r="U17" s="27"/>
      <c r="V17" s="28">
        <f>'Pre-Mitigated VA'!V17</f>
        <v>8.5</v>
      </c>
      <c r="W17" s="30">
        <f t="shared" si="0"/>
        <v>8.5</v>
      </c>
      <c r="X17" s="34"/>
      <c r="Y17" s="34" t="s">
        <v>499</v>
      </c>
      <c r="AA17">
        <f t="shared" si="1"/>
        <v>0.64600000000000002</v>
      </c>
      <c r="AB17">
        <f t="shared" si="2"/>
        <v>0.71</v>
      </c>
      <c r="AC17">
        <f t="shared" si="3"/>
        <v>0.70399999999999996</v>
      </c>
      <c r="AD17">
        <f t="shared" si="4"/>
        <v>0</v>
      </c>
      <c r="AE17">
        <f t="shared" si="5"/>
        <v>0</v>
      </c>
      <c r="AF17">
        <f t="shared" si="6"/>
        <v>0.66</v>
      </c>
      <c r="AG17">
        <f t="shared" si="7"/>
        <v>6.1</v>
      </c>
      <c r="AH17">
        <f t="shared" si="8"/>
        <v>0.1</v>
      </c>
      <c r="AI17">
        <f t="shared" si="9"/>
        <v>0</v>
      </c>
      <c r="AJ17">
        <f>IF( $AV17=FALSE,VLOOKUP(Properties!$B$4, Confidentiality_Requirement,3,FALSE),0)</f>
        <v>1.51</v>
      </c>
      <c r="AK17">
        <f>IF( $AV17=FALSE,VLOOKUP(Properties!$B$5, Integrity_Requirement,3,FALSE),0)</f>
        <v>1.51</v>
      </c>
      <c r="AL17">
        <f>IF( $AV17=FALSE,VLOOKUP(Properties!$B$6, Availability_Requirement,3,FALSE),0)</f>
        <v>1.51</v>
      </c>
      <c r="AM17" s="14">
        <f t="shared" si="10"/>
        <v>6.8706000000000005</v>
      </c>
      <c r="AN17" s="14">
        <f t="shared" si="11"/>
        <v>6.4579327999999991</v>
      </c>
      <c r="AO17" s="4">
        <f t="shared" si="12"/>
        <v>1.1759999999999999</v>
      </c>
      <c r="AP17" s="15">
        <f t="shared" si="13"/>
        <v>10</v>
      </c>
      <c r="AQ17" s="15">
        <f t="shared" si="14"/>
        <v>8.3000000000000007</v>
      </c>
      <c r="AR17" s="15">
        <f t="shared" si="15"/>
        <v>8.3000000000000007</v>
      </c>
      <c r="AS17" s="15">
        <f t="shared" si="16"/>
        <v>8.5</v>
      </c>
      <c r="AT17">
        <f t="shared" si="17"/>
        <v>8.5</v>
      </c>
      <c r="AU17">
        <f t="shared" si="18"/>
        <v>8.5</v>
      </c>
      <c r="AV17" t="b">
        <f>IF(OR(F17="Undefined",H17="Undefined",J17="Undefined",L17="Undefined",N17="Undefined",P17="Undefined",R17="Undefined",T17="Undefined",'Pre-Mitigated VA'!$VA17=TRUE),TRUE, FALSE)</f>
        <v>0</v>
      </c>
      <c r="AW17"/>
      <c r="AX17"/>
      <c r="AY17"/>
      <c r="AZ17"/>
    </row>
    <row r="18" spans="1:52" ht="76.05" customHeight="1" x14ac:dyDescent="0.25">
      <c r="A18" s="38">
        <f>IF(ISBLANK('Pre-Mitigated VA'!A18),"",'Pre-Mitigated VA'!A18)</f>
        <v>33</v>
      </c>
      <c r="B18" s="26" t="str">
        <f>IF(ISBLANK('Pre-Mitigated VA'!B18),"",'Pre-Mitigated VA'!B18)</f>
        <v xml:space="preserve">Spoofed Communication on ZigBee out from ZigBee or Spoofed Device Lock Zigbee Module </v>
      </c>
      <c r="C18" s="26" t="str">
        <f>IF(ISBLANK('Pre-Mitigated VA'!C18),"",'Pre-Mitigated VA'!C18)</f>
        <v>ZigBee out from ZigBee - Spoofing</v>
      </c>
      <c r="D18" s="26" t="str">
        <f>IF(ISBLANK('Pre-Mitigated VA'!D18),"",'Pre-Mitigated VA'!D18)</f>
        <v>The wired or wireless connection, ZigBee out from ZigBee, is replaced with an adversary's spoofed implementation, or Lock Zigbee Module , the source of data communicated over ZigBee out from ZigBee, is not properly authenticated and verified.</v>
      </c>
      <c r="E18" s="38" t="str">
        <f>IF(ISBLANK('Pre-Mitigated VA'!E18),"",'Pre-Mitigated VA'!E18)</f>
        <v>Yes</v>
      </c>
      <c r="F18" s="27" t="s">
        <v>13</v>
      </c>
      <c r="G18" s="27"/>
      <c r="H18" s="27" t="s">
        <v>11</v>
      </c>
      <c r="I18" s="27"/>
      <c r="J18" s="27" t="s">
        <v>55</v>
      </c>
      <c r="K18" s="27"/>
      <c r="L18" s="27" t="s">
        <v>15</v>
      </c>
      <c r="M18" s="27"/>
      <c r="N18" s="27" t="s">
        <v>15</v>
      </c>
      <c r="O18" s="27"/>
      <c r="P18" s="27" t="s">
        <v>15</v>
      </c>
      <c r="Q18" s="27"/>
      <c r="R18" s="31" t="s">
        <v>3</v>
      </c>
      <c r="S18" s="27"/>
      <c r="T18" s="27" t="s">
        <v>15</v>
      </c>
      <c r="U18" s="27"/>
      <c r="V18" s="28">
        <f>'Pre-Mitigated VA'!V18</f>
        <v>8.1</v>
      </c>
      <c r="W18" s="30">
        <f t="shared" si="0"/>
        <v>1</v>
      </c>
      <c r="X18" s="34" t="s">
        <v>470</v>
      </c>
      <c r="Y18" s="34" t="s">
        <v>469</v>
      </c>
      <c r="AA18">
        <f t="shared" si="1"/>
        <v>0.64600000000000002</v>
      </c>
      <c r="AB18">
        <f t="shared" si="2"/>
        <v>0.61</v>
      </c>
      <c r="AC18">
        <f t="shared" si="3"/>
        <v>0.45</v>
      </c>
      <c r="AD18">
        <f t="shared" si="4"/>
        <v>0</v>
      </c>
      <c r="AE18">
        <f t="shared" si="5"/>
        <v>0</v>
      </c>
      <c r="AF18">
        <f t="shared" si="6"/>
        <v>0</v>
      </c>
      <c r="AG18">
        <f t="shared" si="7"/>
        <v>0</v>
      </c>
      <c r="AH18">
        <f t="shared" si="8"/>
        <v>0.1</v>
      </c>
      <c r="AI18">
        <f t="shared" si="9"/>
        <v>0</v>
      </c>
      <c r="AJ18">
        <f>IF( $AV18=FALSE,VLOOKUP(Properties!$B$4, Confidentiality_Requirement,3,FALSE),0)</f>
        <v>1.51</v>
      </c>
      <c r="AK18">
        <f>IF( $AV18=FALSE,VLOOKUP(Properties!$B$5, Integrity_Requirement,3,FALSE),0)</f>
        <v>1.51</v>
      </c>
      <c r="AL18">
        <f>IF( $AV18=FALSE,VLOOKUP(Properties!$B$6, Availability_Requirement,3,FALSE),0)</f>
        <v>1.51</v>
      </c>
      <c r="AM18" s="14">
        <f t="shared" si="10"/>
        <v>0</v>
      </c>
      <c r="AN18" s="14">
        <f t="shared" si="11"/>
        <v>3.5465400000000002</v>
      </c>
      <c r="AO18" s="4">
        <f t="shared" si="12"/>
        <v>0</v>
      </c>
      <c r="AP18" s="15">
        <f t="shared" si="13"/>
        <v>0</v>
      </c>
      <c r="AQ18" s="15">
        <f t="shared" si="14"/>
        <v>0</v>
      </c>
      <c r="AR18" s="15">
        <f t="shared" si="15"/>
        <v>0</v>
      </c>
      <c r="AS18" s="15">
        <f t="shared" si="16"/>
        <v>1</v>
      </c>
      <c r="AT18">
        <f t="shared" si="17"/>
        <v>1</v>
      </c>
      <c r="AU18">
        <f t="shared" si="18"/>
        <v>1</v>
      </c>
      <c r="AV18" t="b">
        <f>IF(OR(F18="Undefined",H18="Undefined",J18="Undefined",L18="Undefined",N18="Undefined",P18="Undefined",R18="Undefined",T18="Undefined",'Pre-Mitigated VA'!$VA18=TRUE),TRUE, FALSE)</f>
        <v>0</v>
      </c>
      <c r="AW18"/>
      <c r="AX18"/>
      <c r="AY18"/>
      <c r="AZ18"/>
    </row>
    <row r="19" spans="1:52" ht="193.95" customHeight="1" x14ac:dyDescent="0.25">
      <c r="A19" s="38">
        <f>IF(ISBLANK('Pre-Mitigated VA'!A19),"",'Pre-Mitigated VA'!A19)</f>
        <v>34</v>
      </c>
      <c r="B19" s="26" t="str">
        <f>IF(ISBLANK('Pre-Mitigated VA'!B19),"",'Pre-Mitigated VA'!B19)</f>
        <v>Tampering with Communicated Data on ZigBee out from ZigBee</v>
      </c>
      <c r="C19" s="26" t="str">
        <f>IF(ISBLANK('Pre-Mitigated VA'!C19),"",'Pre-Mitigated VA'!C19)</f>
        <v>ZigBee out from ZigBee - Tampering</v>
      </c>
      <c r="D19" s="26" t="str">
        <f>IF(ISBLANK('Pre-Mitigated VA'!D19),"",'Pre-Mitigated VA'!D19)</f>
        <v>An adversary may tamper with communicated data on ZigBee out from ZigBee, and if data are not properly verified for integrity prior to accepting or acting upon the data, then the system may behave in an unintended manner.</v>
      </c>
      <c r="E19" s="38" t="str">
        <f>IF(ISBLANK('Pre-Mitigated VA'!E19),"",'Pre-Mitigated VA'!E19)</f>
        <v>Yes</v>
      </c>
      <c r="F19" s="27" t="s">
        <v>13</v>
      </c>
      <c r="G19" s="27"/>
      <c r="H19" s="27" t="s">
        <v>2</v>
      </c>
      <c r="I19" s="27"/>
      <c r="J19" s="27" t="s">
        <v>55</v>
      </c>
      <c r="K19" s="27"/>
      <c r="L19" s="27" t="s">
        <v>15</v>
      </c>
      <c r="M19" s="27"/>
      <c r="N19" s="27" t="s">
        <v>15</v>
      </c>
      <c r="O19" s="27"/>
      <c r="P19" s="27" t="s">
        <v>16</v>
      </c>
      <c r="Q19" s="27"/>
      <c r="R19" s="31" t="s">
        <v>3</v>
      </c>
      <c r="S19" s="27"/>
      <c r="T19" s="27" t="s">
        <v>15</v>
      </c>
      <c r="U19" s="27"/>
      <c r="V19" s="28">
        <f>'Pre-Mitigated VA'!V19</f>
        <v>5.0999999999999996</v>
      </c>
      <c r="W19" s="30">
        <f t="shared" si="0"/>
        <v>3</v>
      </c>
      <c r="X19" s="34" t="s">
        <v>470</v>
      </c>
      <c r="Y19" s="34" t="s">
        <v>469</v>
      </c>
      <c r="AA19">
        <f t="shared" si="1"/>
        <v>0.64600000000000002</v>
      </c>
      <c r="AB19">
        <f t="shared" si="2"/>
        <v>0.35</v>
      </c>
      <c r="AC19">
        <f t="shared" si="3"/>
        <v>0.45</v>
      </c>
      <c r="AD19">
        <f t="shared" si="4"/>
        <v>0</v>
      </c>
      <c r="AE19">
        <f t="shared" si="5"/>
        <v>0</v>
      </c>
      <c r="AF19">
        <f t="shared" si="6"/>
        <v>0.27500000000000002</v>
      </c>
      <c r="AG19">
        <f t="shared" si="7"/>
        <v>1.2</v>
      </c>
      <c r="AH19">
        <f t="shared" si="8"/>
        <v>0.1</v>
      </c>
      <c r="AI19">
        <f t="shared" si="9"/>
        <v>0</v>
      </c>
      <c r="AJ19">
        <f>IF( $AV19=FALSE,VLOOKUP(Properties!$B$4, Confidentiality_Requirement,3,FALSE),0)</f>
        <v>1.51</v>
      </c>
      <c r="AK19">
        <f>IF( $AV19=FALSE,VLOOKUP(Properties!$B$5, Integrity_Requirement,3,FALSE),0)</f>
        <v>1.51</v>
      </c>
      <c r="AL19">
        <f>IF( $AV19=FALSE,VLOOKUP(Properties!$B$6, Availability_Requirement,3,FALSE),0)</f>
        <v>1.51</v>
      </c>
      <c r="AM19" s="14">
        <f t="shared" si="10"/>
        <v>2.8627500000000001</v>
      </c>
      <c r="AN19" s="14">
        <f t="shared" si="11"/>
        <v>2.0348999999999999</v>
      </c>
      <c r="AO19" s="4">
        <f t="shared" si="12"/>
        <v>1.1759999999999999</v>
      </c>
      <c r="AP19" s="15">
        <f t="shared" si="13"/>
        <v>4.3</v>
      </c>
      <c r="AQ19" s="15">
        <f t="shared" si="14"/>
        <v>2.2000000000000002</v>
      </c>
      <c r="AR19" s="15">
        <f t="shared" si="15"/>
        <v>2.2000000000000002</v>
      </c>
      <c r="AS19" s="15">
        <f t="shared" si="16"/>
        <v>3</v>
      </c>
      <c r="AT19">
        <f t="shared" si="17"/>
        <v>3</v>
      </c>
      <c r="AU19">
        <f t="shared" si="18"/>
        <v>3</v>
      </c>
      <c r="AV19" t="b">
        <f>IF(OR(F19="Undefined",H19="Undefined",J19="Undefined",L19="Undefined",N19="Undefined",P19="Undefined",R19="Undefined",T19="Undefined",'Pre-Mitigated VA'!$VA19=TRUE),TRUE, FALSE)</f>
        <v>0</v>
      </c>
      <c r="AW19"/>
      <c r="AX19"/>
      <c r="AY19"/>
      <c r="AZ19"/>
    </row>
    <row r="20" spans="1:52" ht="115.05" customHeight="1" x14ac:dyDescent="0.25">
      <c r="A20" s="38">
        <f>IF(ISBLANK('Pre-Mitigated VA'!A20),"",'Pre-Mitigated VA'!A20)</f>
        <v>35</v>
      </c>
      <c r="B20" s="26" t="str">
        <f>IF(ISBLANK('Pre-Mitigated VA'!B20),"",'Pre-Mitigated VA'!B20)</f>
        <v>Sniffing Network Traffic from Lock Zigbee Module  on ZigBee out from ZigBee</v>
      </c>
      <c r="C20" s="26" t="str">
        <f>IF(ISBLANK('Pre-Mitigated VA'!C20),"",'Pre-Mitigated VA'!C20)</f>
        <v>ZigBee out from ZigBee - Information Disclosure</v>
      </c>
      <c r="D20" s="26" t="str">
        <f>IF(ISBLANK('Pre-Mitigated VA'!D20),"",'Pre-Mitigated VA'!D20)</f>
        <v>An adversary or unauthorized third-party can gain access to sensitive data in an unauthorized manner by sniffing or intercepting network traffic on ZigBee out from ZigBee from Lock Zigbee Module  as it is being communicated to User Device Zigbee Module  due to a lack of data confidentiality protections.</v>
      </c>
      <c r="E20" s="38" t="str">
        <f>IF(ISBLANK('Pre-Mitigated VA'!E20),"",'Pre-Mitigated VA'!E20)</f>
        <v>Yes</v>
      </c>
      <c r="F20" s="27" t="s">
        <v>13</v>
      </c>
      <c r="G20" s="27"/>
      <c r="H20" s="27" t="s">
        <v>2</v>
      </c>
      <c r="I20" s="27"/>
      <c r="J20" s="27" t="s">
        <v>55</v>
      </c>
      <c r="K20" s="27"/>
      <c r="L20" s="27" t="s">
        <v>16</v>
      </c>
      <c r="M20" s="27"/>
      <c r="N20" s="27" t="s">
        <v>15</v>
      </c>
      <c r="O20" s="27"/>
      <c r="P20" s="27" t="s">
        <v>15</v>
      </c>
      <c r="Q20" s="27"/>
      <c r="R20" s="31" t="s">
        <v>3</v>
      </c>
      <c r="S20" s="27"/>
      <c r="T20" s="27" t="s">
        <v>15</v>
      </c>
      <c r="U20" s="27"/>
      <c r="V20" s="28">
        <f>'Pre-Mitigated VA'!V20</f>
        <v>8.5</v>
      </c>
      <c r="W20" s="30">
        <f t="shared" si="0"/>
        <v>3</v>
      </c>
      <c r="X20" s="34"/>
      <c r="Y20" s="34" t="s">
        <v>473</v>
      </c>
      <c r="AA20">
        <f t="shared" si="1"/>
        <v>0.64600000000000002</v>
      </c>
      <c r="AB20">
        <f t="shared" si="2"/>
        <v>0.35</v>
      </c>
      <c r="AC20">
        <f t="shared" si="3"/>
        <v>0.45</v>
      </c>
      <c r="AD20">
        <f t="shared" si="4"/>
        <v>0.27500000000000002</v>
      </c>
      <c r="AE20">
        <f t="shared" si="5"/>
        <v>0</v>
      </c>
      <c r="AF20">
        <f t="shared" si="6"/>
        <v>0</v>
      </c>
      <c r="AG20">
        <f t="shared" si="7"/>
        <v>1.2</v>
      </c>
      <c r="AH20">
        <f t="shared" si="8"/>
        <v>0.1</v>
      </c>
      <c r="AI20">
        <f t="shared" si="9"/>
        <v>0</v>
      </c>
      <c r="AJ20">
        <f>IF( $AV20=FALSE,VLOOKUP(Properties!$B$4, Confidentiality_Requirement,3,FALSE),0)</f>
        <v>1.51</v>
      </c>
      <c r="AK20">
        <f>IF( $AV20=FALSE,VLOOKUP(Properties!$B$5, Integrity_Requirement,3,FALSE),0)</f>
        <v>1.51</v>
      </c>
      <c r="AL20">
        <f>IF( $AV20=FALSE,VLOOKUP(Properties!$B$6, Availability_Requirement,3,FALSE),0)</f>
        <v>1.51</v>
      </c>
      <c r="AM20" s="14">
        <f t="shared" si="10"/>
        <v>2.8627500000000001</v>
      </c>
      <c r="AN20" s="14">
        <f t="shared" si="11"/>
        <v>2.0348999999999999</v>
      </c>
      <c r="AO20" s="4">
        <f t="shared" si="12"/>
        <v>1.1759999999999999</v>
      </c>
      <c r="AP20" s="15">
        <f t="shared" si="13"/>
        <v>4.3</v>
      </c>
      <c r="AQ20" s="15">
        <f t="shared" si="14"/>
        <v>2.2000000000000002</v>
      </c>
      <c r="AR20" s="15">
        <f t="shared" si="15"/>
        <v>2.2000000000000002</v>
      </c>
      <c r="AS20" s="15">
        <f t="shared" si="16"/>
        <v>3</v>
      </c>
      <c r="AT20">
        <f t="shared" si="17"/>
        <v>3</v>
      </c>
      <c r="AU20">
        <f t="shared" si="18"/>
        <v>3</v>
      </c>
      <c r="AV20" t="b">
        <f>IF(OR(F20="Undefined",H20="Undefined",J20="Undefined",L20="Undefined",N20="Undefined",P20="Undefined",R20="Undefined",T20="Undefined",'Pre-Mitigated VA'!$VA20=TRUE),TRUE, FALSE)</f>
        <v>0</v>
      </c>
      <c r="AW20"/>
      <c r="AX20"/>
      <c r="AY20"/>
      <c r="AZ20"/>
    </row>
    <row r="21" spans="1:52" ht="73.95" customHeight="1" x14ac:dyDescent="0.25">
      <c r="A21" s="38">
        <f>IF(ISBLANK('Pre-Mitigated VA'!A21),"",'Pre-Mitigated VA'!A21)</f>
        <v>36</v>
      </c>
      <c r="B21" s="26" t="str">
        <f>IF(ISBLANK('Pre-Mitigated VA'!B21),"",'Pre-Mitigated VA'!B21)</f>
        <v>Interference or Jamming of Wireless Connections on ZigBee out from ZigBee</v>
      </c>
      <c r="C21" s="26" t="str">
        <f>IF(ISBLANK('Pre-Mitigated VA'!C21),"",'Pre-Mitigated VA'!C21)</f>
        <v>ZigBee out from ZigBee - Denial of Service</v>
      </c>
      <c r="D21" s="26" t="str">
        <f>IF(ISBLANK('Pre-Mitigated VA'!D21),"",'Pre-Mitigated VA'!D21)</f>
        <v xml:space="preserve">Medical components connecting via any form of wireless networking, such as ZigBee out from ZigBee, must consider radio frequency interference or jamming scenarios. Components with urgent usage scenarios should consider providing a back-up wired option to avoid scenarios involving wireless jamming. </v>
      </c>
      <c r="E21" s="38" t="str">
        <f>IF(ISBLANK('Pre-Mitigated VA'!E21),"",'Pre-Mitigated VA'!E21)</f>
        <v>No</v>
      </c>
      <c r="F21" s="27" t="s">
        <v>14</v>
      </c>
      <c r="G21" s="27"/>
      <c r="H21" s="27" t="s">
        <v>3</v>
      </c>
      <c r="I21" s="27"/>
      <c r="J21" s="27" t="s">
        <v>15</v>
      </c>
      <c r="K21" s="27"/>
      <c r="L21" s="27" t="s">
        <v>15</v>
      </c>
      <c r="M21" s="27"/>
      <c r="N21" s="27" t="s">
        <v>15</v>
      </c>
      <c r="O21" s="27"/>
      <c r="P21" s="27" t="s">
        <v>15</v>
      </c>
      <c r="Q21" s="27"/>
      <c r="R21" s="31" t="s">
        <v>3</v>
      </c>
      <c r="S21" s="27"/>
      <c r="T21" s="27" t="s">
        <v>15</v>
      </c>
      <c r="U21" s="27"/>
      <c r="V21" s="28">
        <f>'Pre-Mitigated VA'!V21</f>
        <v>4.5</v>
      </c>
      <c r="W21" s="30">
        <f t="shared" si="0"/>
        <v>1</v>
      </c>
      <c r="X21" s="34" t="s">
        <v>472</v>
      </c>
      <c r="Y21" s="34" t="s">
        <v>471</v>
      </c>
      <c r="AA21">
        <f t="shared" si="1"/>
        <v>1</v>
      </c>
      <c r="AB21">
        <f t="shared" si="2"/>
        <v>0.71</v>
      </c>
      <c r="AC21">
        <f t="shared" si="3"/>
        <v>0.70399999999999996</v>
      </c>
      <c r="AD21">
        <f t="shared" si="4"/>
        <v>0</v>
      </c>
      <c r="AE21">
        <f t="shared" si="5"/>
        <v>0</v>
      </c>
      <c r="AF21">
        <f t="shared" si="6"/>
        <v>0</v>
      </c>
      <c r="AG21">
        <f t="shared" si="7"/>
        <v>0</v>
      </c>
      <c r="AH21">
        <f t="shared" si="8"/>
        <v>0.1</v>
      </c>
      <c r="AI21">
        <f t="shared" si="9"/>
        <v>0</v>
      </c>
      <c r="AJ21">
        <f>IF( $AV21=FALSE,VLOOKUP(Properties!$B$4, Confidentiality_Requirement,3,FALSE),0)</f>
        <v>1.51</v>
      </c>
      <c r="AK21">
        <f>IF( $AV21=FALSE,VLOOKUP(Properties!$B$5, Integrity_Requirement,3,FALSE),0)</f>
        <v>1.51</v>
      </c>
      <c r="AL21">
        <f>IF( $AV21=FALSE,VLOOKUP(Properties!$B$6, Availability_Requirement,3,FALSE),0)</f>
        <v>1.51</v>
      </c>
      <c r="AM21" s="14">
        <f t="shared" si="10"/>
        <v>0</v>
      </c>
      <c r="AN21" s="14">
        <f t="shared" si="11"/>
        <v>9.9967999999999986</v>
      </c>
      <c r="AO21" s="4">
        <f t="shared" si="12"/>
        <v>0</v>
      </c>
      <c r="AP21" s="15">
        <f t="shared" si="13"/>
        <v>0</v>
      </c>
      <c r="AQ21" s="15">
        <f t="shared" si="14"/>
        <v>0</v>
      </c>
      <c r="AR21" s="15">
        <f t="shared" si="15"/>
        <v>0</v>
      </c>
      <c r="AS21" s="15">
        <f t="shared" si="16"/>
        <v>1</v>
      </c>
      <c r="AT21">
        <f t="shared" si="17"/>
        <v>1</v>
      </c>
      <c r="AU21">
        <f t="shared" si="18"/>
        <v>1</v>
      </c>
      <c r="AV21" t="b">
        <f>IF(OR(F21="Undefined",H21="Undefined",J21="Undefined",L21="Undefined",N21="Undefined",P21="Undefined",R21="Undefined",T21="Undefined",'Pre-Mitigated VA'!$VA21=TRUE),TRUE, FALSE)</f>
        <v>0</v>
      </c>
      <c r="AW21"/>
      <c r="AX21"/>
      <c r="AY21"/>
      <c r="AZ21"/>
    </row>
    <row r="22" spans="1:52" ht="298.95" customHeight="1" x14ac:dyDescent="0.25">
      <c r="A22" s="38">
        <f>IF(ISBLANK('Pre-Mitigated VA'!A22),"",'Pre-Mitigated VA'!A22)</f>
        <v>37</v>
      </c>
      <c r="B22" s="26" t="str">
        <f>IF(ISBLANK('Pre-Mitigated VA'!B22),"",'Pre-Mitigated VA'!B22)</f>
        <v xml:space="preserve">Excessive or Uncontrolled Resource Consumption by Lock Zigbee Module </v>
      </c>
      <c r="C22" s="26" t="str">
        <f>IF(ISBLANK('Pre-Mitigated VA'!C22),"",'Pre-Mitigated VA'!C22)</f>
        <v>ZigBee in to ZigBee - Denial of Service</v>
      </c>
      <c r="D22" s="26" t="str">
        <f>IF(ISBLANK('Pre-Mitigated VA'!D22),"",'Pre-Mitigated VA'!D22)</f>
        <v>Resource consumption attacks can be hard to deal with, and there are times that it makes sense to let the operating system/CPU do the job. Be careful that your resource requests do not deadlock or timeout. Does Lock Zigbee Module  take explicit steps to control resource consumption?</v>
      </c>
      <c r="E22" s="38" t="str">
        <f>IF(ISBLANK('Pre-Mitigated VA'!E22),"",'Pre-Mitigated VA'!E22)</f>
        <v>Undefined</v>
      </c>
      <c r="F22" s="27" t="s">
        <v>45</v>
      </c>
      <c r="G22" s="27"/>
      <c r="H22" s="27" t="s">
        <v>45</v>
      </c>
      <c r="I22" s="27"/>
      <c r="J22" s="27" t="s">
        <v>45</v>
      </c>
      <c r="K22" s="27"/>
      <c r="L22" s="27" t="s">
        <v>45</v>
      </c>
      <c r="M22" s="27"/>
      <c r="N22" s="27" t="s">
        <v>45</v>
      </c>
      <c r="O22" s="27"/>
      <c r="P22" s="27" t="s">
        <v>45</v>
      </c>
      <c r="Q22" s="27"/>
      <c r="R22" s="31" t="s">
        <v>45</v>
      </c>
      <c r="S22" s="27"/>
      <c r="T22" s="27" t="s">
        <v>15</v>
      </c>
      <c r="U22" s="27"/>
      <c r="V22" s="28" t="str">
        <f>'Pre-Mitigated VA'!V22</f>
        <v>INCOMPLETE</v>
      </c>
      <c r="W22" s="30" t="str">
        <f t="shared" si="0"/>
        <v>INCOMPLETE</v>
      </c>
      <c r="X22" s="34"/>
      <c r="Y22" s="34"/>
      <c r="AA22">
        <f t="shared" si="1"/>
        <v>0</v>
      </c>
      <c r="AB22">
        <f t="shared" si="2"/>
        <v>0</v>
      </c>
      <c r="AC22">
        <f t="shared" si="3"/>
        <v>0</v>
      </c>
      <c r="AD22">
        <f t="shared" si="4"/>
        <v>0</v>
      </c>
      <c r="AE22">
        <f t="shared" si="5"/>
        <v>0</v>
      </c>
      <c r="AF22">
        <f t="shared" si="6"/>
        <v>0</v>
      </c>
      <c r="AG22">
        <f t="shared" si="7"/>
        <v>0</v>
      </c>
      <c r="AH22">
        <f t="shared" si="8"/>
        <v>0</v>
      </c>
      <c r="AI22">
        <f t="shared" si="9"/>
        <v>0</v>
      </c>
      <c r="AJ22">
        <f>IF( $AV22=FALSE,VLOOKUP(Properties!$B$4, Confidentiality_Requirement,3,FALSE),0)</f>
        <v>0</v>
      </c>
      <c r="AK22">
        <f>IF( $AV22=FALSE,VLOOKUP(Properties!$B$5, Integrity_Requirement,3,FALSE),0)</f>
        <v>0</v>
      </c>
      <c r="AL22">
        <f>IF( $AV22=FALSE,VLOOKUP(Properties!$B$6, Availability_Requirement,3,FALSE),0)</f>
        <v>0</v>
      </c>
      <c r="AM22" s="14">
        <f t="shared" si="10"/>
        <v>0</v>
      </c>
      <c r="AN22" s="14">
        <f t="shared" si="11"/>
        <v>0</v>
      </c>
      <c r="AO22" s="4">
        <f t="shared" si="12"/>
        <v>0</v>
      </c>
      <c r="AP22" s="15">
        <f t="shared" si="13"/>
        <v>0</v>
      </c>
      <c r="AQ22" s="15">
        <f t="shared" si="14"/>
        <v>0</v>
      </c>
      <c r="AR22" s="15">
        <f t="shared" si="15"/>
        <v>0</v>
      </c>
      <c r="AS22" s="15">
        <f t="shared" si="16"/>
        <v>0</v>
      </c>
      <c r="AT22">
        <f t="shared" si="17"/>
        <v>0</v>
      </c>
      <c r="AU22">
        <f t="shared" si="18"/>
        <v>0</v>
      </c>
      <c r="AV22" t="b">
        <f>IF(OR(F22="Undefined",H22="Undefined",J22="Undefined",L22="Undefined",N22="Undefined",P22="Undefined",R22="Undefined",T22="Undefined",'Pre-Mitigated VA'!$VA22=TRUE),TRUE, FALSE)</f>
        <v>1</v>
      </c>
      <c r="AW22"/>
      <c r="AX22"/>
      <c r="AY22"/>
      <c r="AZ22"/>
    </row>
    <row r="23" spans="1:52" ht="115.05" customHeight="1" x14ac:dyDescent="0.25">
      <c r="A23" s="38">
        <f>IF(ISBLANK('Pre-Mitigated VA'!A23),"",'Pre-Mitigated VA'!A23)</f>
        <v>38</v>
      </c>
      <c r="B23" s="26" t="str">
        <f>IF(ISBLANK('Pre-Mitigated VA'!B23),"",'Pre-Mitigated VA'!B23)</f>
        <v>Unnecessary and Unused Privileged Features or Services</v>
      </c>
      <c r="C23" s="26" t="str">
        <f>IF(ISBLANK('Pre-Mitigated VA'!C23),"",'Pre-Mitigated VA'!C23)</f>
        <v>ZigBee in to ZigBee - Elevation of Privileges</v>
      </c>
      <c r="D23" s="26" t="str">
        <f>IF(ISBLANK('Pre-Mitigated VA'!D23),"",'Pre-Mitigated VA'!D23)</f>
        <v>An adversary may utilize unused features or privileged services on Lock Zigbee Module , such as the user interface, USB and other ports, manufacturing features, platform features like camera, microphone or location services, etc. Unused features increase the attack surface and serve as additional entry points for the adversary.</v>
      </c>
      <c r="E23" s="38" t="str">
        <f>IF(ISBLANK('Pre-Mitigated VA'!E23),"",'Pre-Mitigated VA'!E23)</f>
        <v>No</v>
      </c>
      <c r="F23" s="27" t="s">
        <v>13</v>
      </c>
      <c r="G23" s="27"/>
      <c r="H23" s="27" t="s">
        <v>2</v>
      </c>
      <c r="I23" s="27"/>
      <c r="J23" s="27" t="s">
        <v>55</v>
      </c>
      <c r="K23" s="27"/>
      <c r="L23" s="27" t="s">
        <v>15</v>
      </c>
      <c r="M23" s="27"/>
      <c r="N23" s="27" t="s">
        <v>16</v>
      </c>
      <c r="O23" s="27"/>
      <c r="P23" s="27" t="s">
        <v>15</v>
      </c>
      <c r="Q23" s="27"/>
      <c r="R23" s="31" t="s">
        <v>3</v>
      </c>
      <c r="S23" s="27"/>
      <c r="T23" s="27" t="s">
        <v>15</v>
      </c>
      <c r="U23" s="27"/>
      <c r="V23" s="28">
        <f>'Pre-Mitigated VA'!V23</f>
        <v>6.5</v>
      </c>
      <c r="W23" s="30">
        <f t="shared" si="0"/>
        <v>3</v>
      </c>
      <c r="X23" s="34"/>
      <c r="Y23" s="34" t="s">
        <v>500</v>
      </c>
      <c r="AA23">
        <f t="shared" si="1"/>
        <v>0.64600000000000002</v>
      </c>
      <c r="AB23">
        <f t="shared" si="2"/>
        <v>0.35</v>
      </c>
      <c r="AC23">
        <f t="shared" si="3"/>
        <v>0.45</v>
      </c>
      <c r="AD23">
        <f t="shared" si="4"/>
        <v>0</v>
      </c>
      <c r="AE23">
        <f t="shared" si="5"/>
        <v>0.27500000000000002</v>
      </c>
      <c r="AF23">
        <f t="shared" si="6"/>
        <v>0</v>
      </c>
      <c r="AG23">
        <f t="shared" si="7"/>
        <v>1.2</v>
      </c>
      <c r="AH23">
        <f t="shared" si="8"/>
        <v>0.1</v>
      </c>
      <c r="AI23">
        <f t="shared" si="9"/>
        <v>0</v>
      </c>
      <c r="AJ23">
        <f>IF( $AV23=FALSE,VLOOKUP(Properties!$B$4, Confidentiality_Requirement,3,FALSE),0)</f>
        <v>1.51</v>
      </c>
      <c r="AK23">
        <f>IF( $AV23=FALSE,VLOOKUP(Properties!$B$5, Integrity_Requirement,3,FALSE),0)</f>
        <v>1.51</v>
      </c>
      <c r="AL23">
        <f>IF( $AV23=FALSE,VLOOKUP(Properties!$B$6, Availability_Requirement,3,FALSE),0)</f>
        <v>1.51</v>
      </c>
      <c r="AM23" s="14">
        <f t="shared" si="10"/>
        <v>2.8627500000000001</v>
      </c>
      <c r="AN23" s="14">
        <f t="shared" si="11"/>
        <v>2.0348999999999999</v>
      </c>
      <c r="AO23" s="4">
        <f t="shared" si="12"/>
        <v>1.1759999999999999</v>
      </c>
      <c r="AP23" s="15">
        <f t="shared" si="13"/>
        <v>4.3</v>
      </c>
      <c r="AQ23" s="15">
        <f t="shared" si="14"/>
        <v>2.2000000000000002</v>
      </c>
      <c r="AR23" s="15">
        <f t="shared" si="15"/>
        <v>2.2000000000000002</v>
      </c>
      <c r="AS23" s="15">
        <f t="shared" si="16"/>
        <v>3</v>
      </c>
      <c r="AT23">
        <f t="shared" si="17"/>
        <v>3</v>
      </c>
      <c r="AU23">
        <f t="shared" si="18"/>
        <v>3</v>
      </c>
      <c r="AV23" t="b">
        <f>IF(OR(F23="Undefined",H23="Undefined",J23="Undefined",L23="Undefined",N23="Undefined",P23="Undefined",R23="Undefined",T23="Undefined",'Pre-Mitigated VA'!$VA23=TRUE),TRUE, FALSE)</f>
        <v>0</v>
      </c>
      <c r="AW23"/>
      <c r="AX23"/>
      <c r="AY23"/>
      <c r="AZ23"/>
    </row>
    <row r="24" spans="1:52" ht="312" customHeight="1" x14ac:dyDescent="0.25">
      <c r="A24" s="38">
        <f>IF(ISBLANK('Pre-Mitigated VA'!A24),"",'Pre-Mitigated VA'!A24)</f>
        <v>39</v>
      </c>
      <c r="B24" s="26" t="str">
        <f>IF(ISBLANK('Pre-Mitigated VA'!B24),"",'Pre-Mitigated VA'!B24)</f>
        <v>Weak Authentication and/or Authorization Schema</v>
      </c>
      <c r="C24" s="26" t="str">
        <f>IF(ISBLANK('Pre-Mitigated VA'!C24),"",'Pre-Mitigated VA'!C24)</f>
        <v>ZigBee in to ZigBee - Elevation of Privileges</v>
      </c>
      <c r="D24" s="26" t="str">
        <f>IF(ISBLANK('Pre-Mitigated VA'!D24),"",'Pre-Mitigated VA'!D24)</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24" s="38" t="str">
        <f>IF(ISBLANK('Pre-Mitigated VA'!E24),"",'Pre-Mitigated VA'!E24)</f>
        <v>Undefined</v>
      </c>
      <c r="F24" s="27" t="s">
        <v>45</v>
      </c>
      <c r="G24" s="27"/>
      <c r="H24" s="27" t="s">
        <v>45</v>
      </c>
      <c r="I24" s="27"/>
      <c r="J24" s="27" t="s">
        <v>45</v>
      </c>
      <c r="K24" s="27"/>
      <c r="L24" s="27" t="s">
        <v>45</v>
      </c>
      <c r="M24" s="27"/>
      <c r="N24" s="27" t="s">
        <v>45</v>
      </c>
      <c r="O24" s="27"/>
      <c r="P24" s="27" t="s">
        <v>45</v>
      </c>
      <c r="Q24" s="27"/>
      <c r="R24" s="31" t="s">
        <v>45</v>
      </c>
      <c r="S24" s="27"/>
      <c r="T24" s="27" t="s">
        <v>15</v>
      </c>
      <c r="U24" s="27"/>
      <c r="V24" s="28" t="str">
        <f>'Pre-Mitigated VA'!V24</f>
        <v>INCOMPLETE</v>
      </c>
      <c r="W24" s="30" t="str">
        <f t="shared" si="0"/>
        <v>INCOMPLETE</v>
      </c>
      <c r="X24" s="34"/>
      <c r="Y24" s="34"/>
      <c r="AA24">
        <f t="shared" si="1"/>
        <v>0</v>
      </c>
      <c r="AB24">
        <f t="shared" si="2"/>
        <v>0</v>
      </c>
      <c r="AC24">
        <f t="shared" si="3"/>
        <v>0</v>
      </c>
      <c r="AD24">
        <f t="shared" si="4"/>
        <v>0</v>
      </c>
      <c r="AE24">
        <f t="shared" si="5"/>
        <v>0</v>
      </c>
      <c r="AF24">
        <f t="shared" si="6"/>
        <v>0</v>
      </c>
      <c r="AG24">
        <f t="shared" si="7"/>
        <v>0</v>
      </c>
      <c r="AH24">
        <f t="shared" si="8"/>
        <v>0</v>
      </c>
      <c r="AI24">
        <f t="shared" si="9"/>
        <v>0</v>
      </c>
      <c r="AJ24">
        <f>IF( $AV24=FALSE,VLOOKUP(Properties!$B$4, Confidentiality_Requirement,3,FALSE),0)</f>
        <v>0</v>
      </c>
      <c r="AK24">
        <f>IF( $AV24=FALSE,VLOOKUP(Properties!$B$5, Integrity_Requirement,3,FALSE),0)</f>
        <v>0</v>
      </c>
      <c r="AL24">
        <f>IF( $AV24=FALSE,VLOOKUP(Properties!$B$6, Availability_Requirement,3,FALSE),0)</f>
        <v>0</v>
      </c>
      <c r="AM24" s="14">
        <f t="shared" si="10"/>
        <v>0</v>
      </c>
      <c r="AN24" s="14">
        <f t="shared" si="11"/>
        <v>0</v>
      </c>
      <c r="AO24" s="4">
        <f t="shared" si="12"/>
        <v>0</v>
      </c>
      <c r="AP24" s="15">
        <f t="shared" si="13"/>
        <v>0</v>
      </c>
      <c r="AQ24" s="15">
        <f t="shared" si="14"/>
        <v>0</v>
      </c>
      <c r="AR24" s="15">
        <f t="shared" si="15"/>
        <v>0</v>
      </c>
      <c r="AS24" s="15">
        <f t="shared" si="16"/>
        <v>0</v>
      </c>
      <c r="AT24">
        <f t="shared" si="17"/>
        <v>0</v>
      </c>
      <c r="AU24">
        <f t="shared" si="18"/>
        <v>0</v>
      </c>
      <c r="AV24" t="b">
        <f>IF(OR(F24="Undefined",H24="Undefined",J24="Undefined",L24="Undefined",N24="Undefined",P24="Undefined",R24="Undefined",T24="Undefined",'Pre-Mitigated VA'!$VA24=TRUE),TRUE, FALSE)</f>
        <v>1</v>
      </c>
      <c r="AW24"/>
      <c r="AX24"/>
      <c r="AY24"/>
      <c r="AZ24"/>
    </row>
    <row r="25" spans="1:52" ht="298.95" customHeight="1" x14ac:dyDescent="0.25">
      <c r="A25" s="38">
        <f>IF(ISBLANK('Pre-Mitigated VA'!A25),"",'Pre-Mitigated VA'!A25)</f>
        <v>40</v>
      </c>
      <c r="B25" s="26" t="str">
        <f>IF(ISBLANK('Pre-Mitigated VA'!B25),"",'Pre-Mitigated VA'!B25)</f>
        <v xml:space="preserve">Excessive or Uncontrolled Resource Consumption by User Device Zigbee Module </v>
      </c>
      <c r="C25" s="26" t="str">
        <f>IF(ISBLANK('Pre-Mitigated VA'!C25),"",'Pre-Mitigated VA'!C25)</f>
        <v>ZigBee out from ZigBee - Denial of Service</v>
      </c>
      <c r="D25" s="26" t="str">
        <f>IF(ISBLANK('Pre-Mitigated VA'!D25),"",'Pre-Mitigated VA'!D25)</f>
        <v>Resource consumption attacks can be hard to deal with, and there are times that it makes sense to let the operating system/CPU do the job. Be careful that your resource requests do not deadlock or timeout. Does User Device Zigbee Module  take explicit steps to control resource consumption?</v>
      </c>
      <c r="E25" s="38" t="str">
        <f>IF(ISBLANK('Pre-Mitigated VA'!E25),"",'Pre-Mitigated VA'!E25)</f>
        <v>Undefined</v>
      </c>
      <c r="F25" s="27" t="s">
        <v>45</v>
      </c>
      <c r="G25" s="27"/>
      <c r="H25" s="27" t="s">
        <v>45</v>
      </c>
      <c r="I25" s="27"/>
      <c r="J25" s="27" t="s">
        <v>45</v>
      </c>
      <c r="K25" s="27"/>
      <c r="L25" s="27" t="s">
        <v>45</v>
      </c>
      <c r="M25" s="27"/>
      <c r="N25" s="27" t="s">
        <v>45</v>
      </c>
      <c r="O25" s="27"/>
      <c r="P25" s="27" t="s">
        <v>45</v>
      </c>
      <c r="Q25" s="27"/>
      <c r="R25" s="31" t="s">
        <v>45</v>
      </c>
      <c r="S25" s="27"/>
      <c r="T25" s="27" t="s">
        <v>15</v>
      </c>
      <c r="U25" s="27"/>
      <c r="V25" s="28" t="str">
        <f>'Pre-Mitigated VA'!V25</f>
        <v>INCOMPLETE</v>
      </c>
      <c r="W25" s="30" t="str">
        <f t="shared" si="0"/>
        <v>INCOMPLETE</v>
      </c>
      <c r="X25" s="34"/>
      <c r="Y25" s="34"/>
      <c r="AA25">
        <f t="shared" si="1"/>
        <v>0</v>
      </c>
      <c r="AB25">
        <f t="shared" si="2"/>
        <v>0</v>
      </c>
      <c r="AC25">
        <f t="shared" si="3"/>
        <v>0</v>
      </c>
      <c r="AD25">
        <f t="shared" si="4"/>
        <v>0</v>
      </c>
      <c r="AE25">
        <f t="shared" si="5"/>
        <v>0</v>
      </c>
      <c r="AF25">
        <f t="shared" si="6"/>
        <v>0</v>
      </c>
      <c r="AG25">
        <f t="shared" si="7"/>
        <v>0</v>
      </c>
      <c r="AH25">
        <f t="shared" si="8"/>
        <v>0</v>
      </c>
      <c r="AI25">
        <f t="shared" si="9"/>
        <v>0</v>
      </c>
      <c r="AJ25">
        <f>IF( $AV25=FALSE,VLOOKUP(Properties!$B$4, Confidentiality_Requirement,3,FALSE),0)</f>
        <v>0</v>
      </c>
      <c r="AK25">
        <f>IF( $AV25=FALSE,VLOOKUP(Properties!$B$5, Integrity_Requirement,3,FALSE),0)</f>
        <v>0</v>
      </c>
      <c r="AL25">
        <f>IF( $AV25=FALSE,VLOOKUP(Properties!$B$6, Availability_Requirement,3,FALSE),0)</f>
        <v>0</v>
      </c>
      <c r="AM25" s="14">
        <f t="shared" si="10"/>
        <v>0</v>
      </c>
      <c r="AN25" s="14">
        <f t="shared" si="11"/>
        <v>0</v>
      </c>
      <c r="AO25" s="4">
        <f t="shared" si="12"/>
        <v>0</v>
      </c>
      <c r="AP25" s="15">
        <f t="shared" si="13"/>
        <v>0</v>
      </c>
      <c r="AQ25" s="15">
        <f t="shared" si="14"/>
        <v>0</v>
      </c>
      <c r="AR25" s="15">
        <f t="shared" si="15"/>
        <v>0</v>
      </c>
      <c r="AS25" s="15">
        <f t="shared" si="16"/>
        <v>0</v>
      </c>
      <c r="AT25">
        <f t="shared" si="17"/>
        <v>0</v>
      </c>
      <c r="AU25">
        <f t="shared" si="18"/>
        <v>0</v>
      </c>
      <c r="AV25" t="b">
        <f>IF(OR(F25="Undefined",H25="Undefined",J25="Undefined",L25="Undefined",N25="Undefined",P25="Undefined",R25="Undefined",T25="Undefined",'Pre-Mitigated VA'!$VA25=TRUE),TRUE, FALSE)</f>
        <v>1</v>
      </c>
      <c r="AW25"/>
      <c r="AX25"/>
      <c r="AY25"/>
      <c r="AZ25"/>
    </row>
    <row r="26" spans="1:52" ht="115.05" customHeight="1" x14ac:dyDescent="0.25">
      <c r="A26" s="38">
        <f>IF(ISBLANK('Pre-Mitigated VA'!A26),"",'Pre-Mitigated VA'!A26)</f>
        <v>41</v>
      </c>
      <c r="B26" s="26" t="str">
        <f>IF(ISBLANK('Pre-Mitigated VA'!B26),"",'Pre-Mitigated VA'!B26)</f>
        <v>Unnecessary and Unused Privileged Features or Services</v>
      </c>
      <c r="C26" s="26" t="str">
        <f>IF(ISBLANK('Pre-Mitigated VA'!C26),"",'Pre-Mitigated VA'!C26)</f>
        <v>ZigBee out from ZigBee - Elevation of Privileges</v>
      </c>
      <c r="D26" s="26" t="str">
        <f>IF(ISBLANK('Pre-Mitigated VA'!D26),"",'Pre-Mitigated VA'!D26)</f>
        <v>An adversary may utilize unused features or privileged services on User Device Zigbee Module , such as the user interface, USB and other ports, manufacturing features, platform features like camera, microphone or location services, etc. Unused features increase the attack surface and serve as additional entry points for the adversary.</v>
      </c>
      <c r="E26" s="38" t="str">
        <f>IF(ISBLANK('Pre-Mitigated VA'!E26),"",'Pre-Mitigated VA'!E26)</f>
        <v>Undefined</v>
      </c>
      <c r="F26" s="27" t="s">
        <v>45</v>
      </c>
      <c r="G26" s="27"/>
      <c r="H26" s="27" t="s">
        <v>45</v>
      </c>
      <c r="I26" s="27"/>
      <c r="J26" s="27" t="s">
        <v>45</v>
      </c>
      <c r="K26" s="27"/>
      <c r="L26" s="27" t="s">
        <v>45</v>
      </c>
      <c r="M26" s="27"/>
      <c r="N26" s="27" t="s">
        <v>45</v>
      </c>
      <c r="O26" s="27"/>
      <c r="P26" s="27" t="s">
        <v>45</v>
      </c>
      <c r="Q26" s="27"/>
      <c r="R26" s="31" t="s">
        <v>45</v>
      </c>
      <c r="S26" s="27"/>
      <c r="T26" s="27" t="s">
        <v>15</v>
      </c>
      <c r="U26" s="27"/>
      <c r="V26" s="28" t="str">
        <f>'Pre-Mitigated VA'!V26</f>
        <v>INCOMPLETE</v>
      </c>
      <c r="W26" s="30" t="str">
        <f t="shared" si="0"/>
        <v>INCOMPLETE</v>
      </c>
      <c r="X26" s="34"/>
      <c r="Y26" s="34"/>
      <c r="AA26">
        <f t="shared" si="1"/>
        <v>0</v>
      </c>
      <c r="AB26">
        <f t="shared" si="2"/>
        <v>0</v>
      </c>
      <c r="AC26">
        <f t="shared" si="3"/>
        <v>0</v>
      </c>
      <c r="AD26">
        <f t="shared" si="4"/>
        <v>0</v>
      </c>
      <c r="AE26">
        <f t="shared" si="5"/>
        <v>0</v>
      </c>
      <c r="AF26">
        <f t="shared" si="6"/>
        <v>0</v>
      </c>
      <c r="AG26">
        <f t="shared" si="7"/>
        <v>0</v>
      </c>
      <c r="AH26">
        <f t="shared" si="8"/>
        <v>0</v>
      </c>
      <c r="AI26">
        <f t="shared" si="9"/>
        <v>0</v>
      </c>
      <c r="AJ26">
        <f>IF( $AV26=FALSE,VLOOKUP(Properties!$B$4, Confidentiality_Requirement,3,FALSE),0)</f>
        <v>0</v>
      </c>
      <c r="AK26">
        <f>IF( $AV26=FALSE,VLOOKUP(Properties!$B$5, Integrity_Requirement,3,FALSE),0)</f>
        <v>0</v>
      </c>
      <c r="AL26">
        <f>IF( $AV26=FALSE,VLOOKUP(Properties!$B$6, Availability_Requirement,3,FALSE),0)</f>
        <v>0</v>
      </c>
      <c r="AM26" s="14">
        <f t="shared" si="10"/>
        <v>0</v>
      </c>
      <c r="AN26" s="14">
        <f t="shared" si="11"/>
        <v>0</v>
      </c>
      <c r="AO26" s="4">
        <f t="shared" si="12"/>
        <v>0</v>
      </c>
      <c r="AP26" s="15">
        <f t="shared" si="13"/>
        <v>0</v>
      </c>
      <c r="AQ26" s="15">
        <f t="shared" si="14"/>
        <v>0</v>
      </c>
      <c r="AR26" s="15">
        <f t="shared" si="15"/>
        <v>0</v>
      </c>
      <c r="AS26" s="15">
        <f t="shared" si="16"/>
        <v>0</v>
      </c>
      <c r="AT26">
        <f t="shared" si="17"/>
        <v>0</v>
      </c>
      <c r="AU26">
        <f t="shared" si="18"/>
        <v>0</v>
      </c>
      <c r="AV26" t="b">
        <f>IF(OR(F26="Undefined",H26="Undefined",J26="Undefined",L26="Undefined",N26="Undefined",P26="Undefined",R26="Undefined",T26="Undefined",'Pre-Mitigated VA'!$VA26=TRUE),TRUE, FALSE)</f>
        <v>1</v>
      </c>
      <c r="AW26"/>
      <c r="AX26"/>
      <c r="AY26"/>
      <c r="AZ26"/>
    </row>
    <row r="27" spans="1:52" ht="312" customHeight="1" x14ac:dyDescent="0.25">
      <c r="A27" s="38">
        <f>IF(ISBLANK('Pre-Mitigated VA'!A27),"",'Pre-Mitigated VA'!A27)</f>
        <v>42</v>
      </c>
      <c r="B27" s="26" t="str">
        <f>IF(ISBLANK('Pre-Mitigated VA'!B27),"",'Pre-Mitigated VA'!B27)</f>
        <v>Weak Authentication and/or Authorization Schema</v>
      </c>
      <c r="C27" s="26" t="str">
        <f>IF(ISBLANK('Pre-Mitigated VA'!C27),"",'Pre-Mitigated VA'!C27)</f>
        <v>ZigBee out from ZigBee - Elevation of Privileges</v>
      </c>
      <c r="D27" s="26" t="str">
        <f>IF(ISBLANK('Pre-Mitigated VA'!D27),"",'Pre-Mitigated VA'!D27)</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27" s="38" t="str">
        <f>IF(ISBLANK('Pre-Mitigated VA'!E27),"",'Pre-Mitigated VA'!E27)</f>
        <v>Undefined</v>
      </c>
      <c r="F27" s="27" t="s">
        <v>45</v>
      </c>
      <c r="G27" s="27"/>
      <c r="H27" s="27" t="s">
        <v>45</v>
      </c>
      <c r="I27" s="27"/>
      <c r="J27" s="27" t="s">
        <v>45</v>
      </c>
      <c r="K27" s="27"/>
      <c r="L27" s="27" t="s">
        <v>45</v>
      </c>
      <c r="M27" s="27"/>
      <c r="N27" s="27" t="s">
        <v>45</v>
      </c>
      <c r="O27" s="27"/>
      <c r="P27" s="27" t="s">
        <v>45</v>
      </c>
      <c r="Q27" s="27"/>
      <c r="R27" s="31" t="s">
        <v>45</v>
      </c>
      <c r="S27" s="27"/>
      <c r="T27" s="27" t="s">
        <v>15</v>
      </c>
      <c r="U27" s="27"/>
      <c r="V27" s="28" t="str">
        <f>'Pre-Mitigated VA'!V27</f>
        <v>INCOMPLETE</v>
      </c>
      <c r="W27" s="30" t="str">
        <f t="shared" si="0"/>
        <v>INCOMPLETE</v>
      </c>
      <c r="X27" s="34"/>
      <c r="Y27" s="34"/>
      <c r="AA27">
        <f t="shared" si="1"/>
        <v>0</v>
      </c>
      <c r="AB27">
        <f t="shared" si="2"/>
        <v>0</v>
      </c>
      <c r="AC27">
        <f t="shared" si="3"/>
        <v>0</v>
      </c>
      <c r="AD27">
        <f t="shared" si="4"/>
        <v>0</v>
      </c>
      <c r="AE27">
        <f t="shared" si="5"/>
        <v>0</v>
      </c>
      <c r="AF27">
        <f t="shared" si="6"/>
        <v>0</v>
      </c>
      <c r="AG27">
        <f t="shared" si="7"/>
        <v>0</v>
      </c>
      <c r="AH27">
        <f t="shared" si="8"/>
        <v>0</v>
      </c>
      <c r="AI27">
        <f t="shared" si="9"/>
        <v>0</v>
      </c>
      <c r="AJ27">
        <f>IF( $AV27=FALSE,VLOOKUP(Properties!$B$4, Confidentiality_Requirement,3,FALSE),0)</f>
        <v>0</v>
      </c>
      <c r="AK27">
        <f>IF( $AV27=FALSE,VLOOKUP(Properties!$B$5, Integrity_Requirement,3,FALSE),0)</f>
        <v>0</v>
      </c>
      <c r="AL27">
        <f>IF( $AV27=FALSE,VLOOKUP(Properties!$B$6, Availability_Requirement,3,FALSE),0)</f>
        <v>0</v>
      </c>
      <c r="AM27" s="14">
        <f t="shared" si="10"/>
        <v>0</v>
      </c>
      <c r="AN27" s="14">
        <f t="shared" si="11"/>
        <v>0</v>
      </c>
      <c r="AO27" s="4">
        <f t="shared" si="12"/>
        <v>0</v>
      </c>
      <c r="AP27" s="15">
        <f t="shared" si="13"/>
        <v>0</v>
      </c>
      <c r="AQ27" s="15">
        <f t="shared" si="14"/>
        <v>0</v>
      </c>
      <c r="AR27" s="15">
        <f t="shared" si="15"/>
        <v>0</v>
      </c>
      <c r="AS27" s="15">
        <f t="shared" si="16"/>
        <v>0</v>
      </c>
      <c r="AT27">
        <f t="shared" si="17"/>
        <v>0</v>
      </c>
      <c r="AU27">
        <f t="shared" si="18"/>
        <v>0</v>
      </c>
      <c r="AV27" t="b">
        <f>IF(OR(F27="Undefined",H27="Undefined",J27="Undefined",L27="Undefined",N27="Undefined",P27="Undefined",R27="Undefined",T27="Undefined",'Pre-Mitigated VA'!$VA27=TRUE),TRUE, FALSE)</f>
        <v>1</v>
      </c>
      <c r="AW27"/>
      <c r="AX27"/>
      <c r="AY27"/>
      <c r="AZ27"/>
    </row>
    <row r="28" spans="1:52" ht="76.05" customHeight="1" x14ac:dyDescent="0.25">
      <c r="A28" s="38">
        <f>IF(ISBLANK('Pre-Mitigated VA'!A28),"",'Pre-Mitigated VA'!A28)</f>
        <v>94</v>
      </c>
      <c r="B28" s="26" t="str">
        <f>IF(ISBLANK('Pre-Mitigated VA'!B28),"",'Pre-Mitigated VA'!B28)</f>
        <v>Spoofed Communication on USB out from Lock or Spoofed Device Lock</v>
      </c>
      <c r="C28" s="26" t="str">
        <f>IF(ISBLANK('Pre-Mitigated VA'!C28),"",'Pre-Mitigated VA'!C28)</f>
        <v>USB out from Lock - Spoofing</v>
      </c>
      <c r="D28" s="26" t="str">
        <f>IF(ISBLANK('Pre-Mitigated VA'!D28),"",'Pre-Mitigated VA'!D28)</f>
        <v>The wired or wireless connection, USB out from Lock, is replaced with an adversary's spoofed implementation, or Lock, the source of data communicated over USB out from Lock, is not properly authenticated and verified.</v>
      </c>
      <c r="E28" s="38" t="str">
        <f>IF(ISBLANK('Pre-Mitigated VA'!E28),"",'Pre-Mitigated VA'!E28)</f>
        <v>Undefined</v>
      </c>
      <c r="F28" s="27" t="s">
        <v>45</v>
      </c>
      <c r="G28" s="27"/>
      <c r="H28" s="27" t="s">
        <v>45</v>
      </c>
      <c r="I28" s="27"/>
      <c r="J28" s="27" t="s">
        <v>45</v>
      </c>
      <c r="K28" s="27"/>
      <c r="L28" s="27" t="s">
        <v>45</v>
      </c>
      <c r="M28" s="27"/>
      <c r="N28" s="27" t="s">
        <v>45</v>
      </c>
      <c r="O28" s="27"/>
      <c r="P28" s="27" t="s">
        <v>45</v>
      </c>
      <c r="Q28" s="27"/>
      <c r="R28" s="31" t="s">
        <v>45</v>
      </c>
      <c r="S28" s="27"/>
      <c r="T28" s="27" t="s">
        <v>15</v>
      </c>
      <c r="U28" s="27"/>
      <c r="V28" s="28" t="str">
        <f>'Pre-Mitigated VA'!V28</f>
        <v>INCOMPLETE</v>
      </c>
      <c r="W28" s="30" t="str">
        <f t="shared" si="0"/>
        <v>INCOMPLETE</v>
      </c>
      <c r="X28" s="34"/>
      <c r="Y28" s="34"/>
      <c r="AA28">
        <f t="shared" si="1"/>
        <v>0</v>
      </c>
      <c r="AB28">
        <f t="shared" si="2"/>
        <v>0</v>
      </c>
      <c r="AC28">
        <f t="shared" si="3"/>
        <v>0</v>
      </c>
      <c r="AD28">
        <f t="shared" si="4"/>
        <v>0</v>
      </c>
      <c r="AE28">
        <f t="shared" si="5"/>
        <v>0</v>
      </c>
      <c r="AF28">
        <f t="shared" si="6"/>
        <v>0</v>
      </c>
      <c r="AG28">
        <f t="shared" si="7"/>
        <v>0</v>
      </c>
      <c r="AH28">
        <f t="shared" si="8"/>
        <v>0</v>
      </c>
      <c r="AI28">
        <f t="shared" si="9"/>
        <v>0</v>
      </c>
      <c r="AJ28">
        <f>IF( $AV28=FALSE,VLOOKUP(Properties!$B$4, Confidentiality_Requirement,3,FALSE),0)</f>
        <v>0</v>
      </c>
      <c r="AK28">
        <f>IF( $AV28=FALSE,VLOOKUP(Properties!$B$5, Integrity_Requirement,3,FALSE),0)</f>
        <v>0</v>
      </c>
      <c r="AL28">
        <f>IF( $AV28=FALSE,VLOOKUP(Properties!$B$6, Availability_Requirement,3,FALSE),0)</f>
        <v>0</v>
      </c>
      <c r="AM28" s="14">
        <f t="shared" si="10"/>
        <v>0</v>
      </c>
      <c r="AN28" s="14">
        <f t="shared" si="11"/>
        <v>0</v>
      </c>
      <c r="AO28" s="4">
        <f t="shared" si="12"/>
        <v>0</v>
      </c>
      <c r="AP28" s="15">
        <f t="shared" si="13"/>
        <v>0</v>
      </c>
      <c r="AQ28" s="15">
        <f t="shared" si="14"/>
        <v>0</v>
      </c>
      <c r="AR28" s="15">
        <f t="shared" si="15"/>
        <v>0</v>
      </c>
      <c r="AS28" s="15">
        <f t="shared" si="16"/>
        <v>0</v>
      </c>
      <c r="AT28">
        <f t="shared" si="17"/>
        <v>0</v>
      </c>
      <c r="AU28">
        <f t="shared" si="18"/>
        <v>0</v>
      </c>
      <c r="AV28" t="b">
        <f>IF(OR(F28="Undefined",H28="Undefined",J28="Undefined",L28="Undefined",N28="Undefined",P28="Undefined",R28="Undefined",T28="Undefined",'Pre-Mitigated VA'!$VA28=TRUE),TRUE, FALSE)</f>
        <v>1</v>
      </c>
      <c r="AW28"/>
      <c r="AX28"/>
      <c r="AY28"/>
      <c r="AZ28"/>
    </row>
    <row r="29" spans="1:52" ht="193.95" customHeight="1" x14ac:dyDescent="0.25">
      <c r="A29" s="38">
        <f>IF(ISBLANK('Pre-Mitigated VA'!A29),"",'Pre-Mitigated VA'!A29)</f>
        <v>95</v>
      </c>
      <c r="B29" s="26" t="str">
        <f>IF(ISBLANK('Pre-Mitigated VA'!B29),"",'Pre-Mitigated VA'!B29)</f>
        <v>Tampering with Communicated Data on USB out from Lock</v>
      </c>
      <c r="C29" s="26" t="str">
        <f>IF(ISBLANK('Pre-Mitigated VA'!C29),"",'Pre-Mitigated VA'!C29)</f>
        <v>USB out from Lock - Tampering</v>
      </c>
      <c r="D29" s="26" t="str">
        <f>IF(ISBLANK('Pre-Mitigated VA'!D29),"",'Pre-Mitigated VA'!D29)</f>
        <v>An adversary may tamper with communicated data on USB out from Lock, and if data are not properly verified for integrity prior to accepting or acting upon the data, then the system may behave in an unintended manner.</v>
      </c>
      <c r="E29" s="38" t="str">
        <f>IF(ISBLANK('Pre-Mitigated VA'!E29),"",'Pre-Mitigated VA'!E29)</f>
        <v>Undefined</v>
      </c>
      <c r="F29" s="27" t="s">
        <v>45</v>
      </c>
      <c r="G29" s="27"/>
      <c r="H29" s="27" t="s">
        <v>45</v>
      </c>
      <c r="I29" s="27"/>
      <c r="J29" s="27" t="s">
        <v>45</v>
      </c>
      <c r="K29" s="27"/>
      <c r="L29" s="27" t="s">
        <v>45</v>
      </c>
      <c r="M29" s="27"/>
      <c r="N29" s="27" t="s">
        <v>45</v>
      </c>
      <c r="O29" s="27"/>
      <c r="P29" s="27" t="s">
        <v>45</v>
      </c>
      <c r="Q29" s="27"/>
      <c r="R29" s="31" t="s">
        <v>45</v>
      </c>
      <c r="S29" s="27"/>
      <c r="T29" s="27" t="s">
        <v>15</v>
      </c>
      <c r="U29" s="27"/>
      <c r="V29" s="28" t="str">
        <f>'Pre-Mitigated VA'!V29</f>
        <v>INCOMPLETE</v>
      </c>
      <c r="W29" s="30" t="str">
        <f t="shared" si="0"/>
        <v>INCOMPLETE</v>
      </c>
      <c r="X29" s="34"/>
      <c r="Y29" s="34"/>
      <c r="AA29">
        <f t="shared" si="1"/>
        <v>0</v>
      </c>
      <c r="AB29">
        <f t="shared" si="2"/>
        <v>0</v>
      </c>
      <c r="AC29">
        <f t="shared" si="3"/>
        <v>0</v>
      </c>
      <c r="AD29">
        <f t="shared" si="4"/>
        <v>0</v>
      </c>
      <c r="AE29">
        <f t="shared" si="5"/>
        <v>0</v>
      </c>
      <c r="AF29">
        <f t="shared" si="6"/>
        <v>0</v>
      </c>
      <c r="AG29">
        <f t="shared" si="7"/>
        <v>0</v>
      </c>
      <c r="AH29">
        <f t="shared" si="8"/>
        <v>0</v>
      </c>
      <c r="AI29">
        <f t="shared" si="9"/>
        <v>0</v>
      </c>
      <c r="AJ29">
        <f>IF( $AV29=FALSE,VLOOKUP(Properties!$B$4, Confidentiality_Requirement,3,FALSE),0)</f>
        <v>0</v>
      </c>
      <c r="AK29">
        <f>IF( $AV29=FALSE,VLOOKUP(Properties!$B$5, Integrity_Requirement,3,FALSE),0)</f>
        <v>0</v>
      </c>
      <c r="AL29">
        <f>IF( $AV29=FALSE,VLOOKUP(Properties!$B$6, Availability_Requirement,3,FALSE),0)</f>
        <v>0</v>
      </c>
      <c r="AM29" s="14">
        <f t="shared" si="10"/>
        <v>0</v>
      </c>
      <c r="AN29" s="14">
        <f t="shared" si="11"/>
        <v>0</v>
      </c>
      <c r="AO29" s="4">
        <f t="shared" si="12"/>
        <v>0</v>
      </c>
      <c r="AP29" s="15">
        <f t="shared" si="13"/>
        <v>0</v>
      </c>
      <c r="AQ29" s="15">
        <f t="shared" si="14"/>
        <v>0</v>
      </c>
      <c r="AR29" s="15">
        <f t="shared" si="15"/>
        <v>0</v>
      </c>
      <c r="AS29" s="15">
        <f t="shared" si="16"/>
        <v>0</v>
      </c>
      <c r="AT29">
        <f t="shared" si="17"/>
        <v>0</v>
      </c>
      <c r="AU29">
        <f t="shared" si="18"/>
        <v>0</v>
      </c>
      <c r="AV29" t="b">
        <f>IF(OR(F29="Undefined",H29="Undefined",J29="Undefined",L29="Undefined",N29="Undefined",P29="Undefined",R29="Undefined",T29="Undefined",'Pre-Mitigated VA'!$VA29=TRUE),TRUE, FALSE)</f>
        <v>1</v>
      </c>
      <c r="AW29"/>
      <c r="AX29"/>
      <c r="AY29"/>
      <c r="AZ29"/>
    </row>
    <row r="30" spans="1:52" ht="61.95" customHeight="1" x14ac:dyDescent="0.25">
      <c r="A30" s="38">
        <f>IF(ISBLANK('Pre-Mitigated VA'!A30),"",'Pre-Mitigated VA'!A30)</f>
        <v>96</v>
      </c>
      <c r="B30" s="26" t="str">
        <f>IF(ISBLANK('Pre-Mitigated VA'!B30),"",'Pre-Mitigated VA'!B30)</f>
        <v>Sniffing Communications from Lock on USB out from Lock</v>
      </c>
      <c r="C30" s="26" t="str">
        <f>IF(ISBLANK('Pre-Mitigated VA'!C30),"",'Pre-Mitigated VA'!C30)</f>
        <v>USB out from Lock - Information Disclosure</v>
      </c>
      <c r="D30" s="26" t="str">
        <f>IF(ISBLANK('Pre-Mitigated VA'!D30),"",'Pre-Mitigated VA'!D30)</f>
        <v>An adversary can gain access to sensitive data in an unauthorized manner by sniffing communications on USB out from Lock due to a lack of data confidentiality protections.</v>
      </c>
      <c r="E30" s="38" t="str">
        <f>IF(ISBLANK('Pre-Mitigated VA'!E30),"",'Pre-Mitigated VA'!E30)</f>
        <v>Yes</v>
      </c>
      <c r="F30" s="27" t="s">
        <v>12</v>
      </c>
      <c r="G30" s="27"/>
      <c r="H30" s="27" t="s">
        <v>2</v>
      </c>
      <c r="I30" s="27"/>
      <c r="J30" s="27" t="s">
        <v>15</v>
      </c>
      <c r="K30" s="27"/>
      <c r="L30" s="27" t="s">
        <v>15</v>
      </c>
      <c r="M30" s="27"/>
      <c r="N30" s="27" t="s">
        <v>15</v>
      </c>
      <c r="O30" s="27"/>
      <c r="P30" s="27" t="s">
        <v>15</v>
      </c>
      <c r="Q30" s="27"/>
      <c r="R30" s="31" t="s">
        <v>3</v>
      </c>
      <c r="S30" s="27"/>
      <c r="T30" s="27" t="s">
        <v>15</v>
      </c>
      <c r="U30" s="27"/>
      <c r="V30" s="28">
        <f>'Pre-Mitigated VA'!V30</f>
        <v>5.8</v>
      </c>
      <c r="W30" s="30">
        <f t="shared" si="0"/>
        <v>1</v>
      </c>
      <c r="X30" s="34" t="s">
        <v>484</v>
      </c>
      <c r="Y30" s="34" t="s">
        <v>483</v>
      </c>
      <c r="AA30">
        <f t="shared" si="1"/>
        <v>0.39500000000000002</v>
      </c>
      <c r="AB30">
        <f t="shared" si="2"/>
        <v>0.35</v>
      </c>
      <c r="AC30">
        <f t="shared" si="3"/>
        <v>0.70399999999999996</v>
      </c>
      <c r="AD30">
        <f t="shared" si="4"/>
        <v>0</v>
      </c>
      <c r="AE30">
        <f t="shared" si="5"/>
        <v>0</v>
      </c>
      <c r="AF30">
        <f t="shared" si="6"/>
        <v>0</v>
      </c>
      <c r="AG30">
        <f t="shared" si="7"/>
        <v>0</v>
      </c>
      <c r="AH30">
        <f t="shared" si="8"/>
        <v>0.1</v>
      </c>
      <c r="AI30">
        <f t="shared" si="9"/>
        <v>0</v>
      </c>
      <c r="AJ30">
        <f>IF( $AV30=FALSE,VLOOKUP(Properties!$B$4, Confidentiality_Requirement,3,FALSE),0)</f>
        <v>1.51</v>
      </c>
      <c r="AK30">
        <f>IF( $AV30=FALSE,VLOOKUP(Properties!$B$5, Integrity_Requirement,3,FALSE),0)</f>
        <v>1.51</v>
      </c>
      <c r="AL30">
        <f>IF( $AV30=FALSE,VLOOKUP(Properties!$B$6, Availability_Requirement,3,FALSE),0)</f>
        <v>1.51</v>
      </c>
      <c r="AM30" s="14">
        <f t="shared" si="10"/>
        <v>0</v>
      </c>
      <c r="AN30" s="14">
        <f t="shared" si="11"/>
        <v>1.9465600000000001</v>
      </c>
      <c r="AO30" s="4">
        <f t="shared" si="12"/>
        <v>0</v>
      </c>
      <c r="AP30" s="15">
        <f t="shared" si="13"/>
        <v>0</v>
      </c>
      <c r="AQ30" s="15">
        <f t="shared" si="14"/>
        <v>0</v>
      </c>
      <c r="AR30" s="15">
        <f t="shared" si="15"/>
        <v>0</v>
      </c>
      <c r="AS30" s="15">
        <f t="shared" si="16"/>
        <v>1</v>
      </c>
      <c r="AT30">
        <f t="shared" si="17"/>
        <v>1</v>
      </c>
      <c r="AU30">
        <f t="shared" si="18"/>
        <v>1</v>
      </c>
      <c r="AV30" t="b">
        <f>IF(OR(F30="Undefined",H30="Undefined",J30="Undefined",L30="Undefined",N30="Undefined",P30="Undefined",R30="Undefined",T30="Undefined",'Pre-Mitigated VA'!$VA30=TRUE),TRUE, FALSE)</f>
        <v>0</v>
      </c>
      <c r="AW30"/>
      <c r="AX30"/>
      <c r="AY30"/>
      <c r="AZ30"/>
    </row>
    <row r="31" spans="1:52" ht="48" customHeight="1" x14ac:dyDescent="0.25">
      <c r="A31" s="38">
        <f>IF(ISBLANK('Pre-Mitigated VA'!A31),"",'Pre-Mitigated VA'!A31)</f>
        <v>97</v>
      </c>
      <c r="B31" s="26" t="str">
        <f>IF(ISBLANK('Pre-Mitigated VA'!B31),"",'Pre-Mitigated VA'!B31)</f>
        <v>Interuption or Corruption of Data on USB out from Lock</v>
      </c>
      <c r="C31" s="26" t="str">
        <f>IF(ISBLANK('Pre-Mitigated VA'!C31),"",'Pre-Mitigated VA'!C31)</f>
        <v>USB out from Lock - Denial of Service</v>
      </c>
      <c r="D31" s="26" t="str">
        <f>IF(ISBLANK('Pre-Mitigated VA'!D31),"",'Pre-Mitigated VA'!D31)</f>
        <v>An external agent interrupts or corrupts data flowing on USB out from Lock, denying the availability of the communicated data.</v>
      </c>
      <c r="E31" s="38" t="str">
        <f>IF(ISBLANK('Pre-Mitigated VA'!E31),"",'Pre-Mitigated VA'!E31)</f>
        <v>Undefined</v>
      </c>
      <c r="F31" s="27" t="s">
        <v>45</v>
      </c>
      <c r="G31" s="27"/>
      <c r="H31" s="27" t="s">
        <v>45</v>
      </c>
      <c r="I31" s="27"/>
      <c r="J31" s="27" t="s">
        <v>45</v>
      </c>
      <c r="K31" s="27"/>
      <c r="L31" s="27" t="s">
        <v>45</v>
      </c>
      <c r="M31" s="27"/>
      <c r="N31" s="27" t="s">
        <v>45</v>
      </c>
      <c r="O31" s="27"/>
      <c r="P31" s="27" t="s">
        <v>45</v>
      </c>
      <c r="Q31" s="27"/>
      <c r="R31" s="31" t="s">
        <v>45</v>
      </c>
      <c r="S31" s="27"/>
      <c r="T31" s="27" t="s">
        <v>15</v>
      </c>
      <c r="U31" s="27"/>
      <c r="V31" s="28" t="str">
        <f>'Pre-Mitigated VA'!V31</f>
        <v>INCOMPLETE</v>
      </c>
      <c r="W31" s="30" t="str">
        <f t="shared" si="0"/>
        <v>INCOMPLETE</v>
      </c>
      <c r="X31" s="34"/>
      <c r="Y31" s="34"/>
      <c r="AA31">
        <f t="shared" si="1"/>
        <v>0</v>
      </c>
      <c r="AB31">
        <f t="shared" si="2"/>
        <v>0</v>
      </c>
      <c r="AC31">
        <f t="shared" si="3"/>
        <v>0</v>
      </c>
      <c r="AD31">
        <f t="shared" si="4"/>
        <v>0</v>
      </c>
      <c r="AE31">
        <f t="shared" si="5"/>
        <v>0</v>
      </c>
      <c r="AF31">
        <f t="shared" si="6"/>
        <v>0</v>
      </c>
      <c r="AG31">
        <f t="shared" si="7"/>
        <v>0</v>
      </c>
      <c r="AH31">
        <f t="shared" si="8"/>
        <v>0</v>
      </c>
      <c r="AI31">
        <f t="shared" si="9"/>
        <v>0</v>
      </c>
      <c r="AJ31">
        <f>IF( $AV31=FALSE,VLOOKUP(Properties!$B$4, Confidentiality_Requirement,3,FALSE),0)</f>
        <v>0</v>
      </c>
      <c r="AK31">
        <f>IF( $AV31=FALSE,VLOOKUP(Properties!$B$5, Integrity_Requirement,3,FALSE),0)</f>
        <v>0</v>
      </c>
      <c r="AL31">
        <f>IF( $AV31=FALSE,VLOOKUP(Properties!$B$6, Availability_Requirement,3,FALSE),0)</f>
        <v>0</v>
      </c>
      <c r="AM31" s="14">
        <f t="shared" si="10"/>
        <v>0</v>
      </c>
      <c r="AN31" s="14">
        <f t="shared" si="11"/>
        <v>0</v>
      </c>
      <c r="AO31" s="4">
        <f t="shared" si="12"/>
        <v>0</v>
      </c>
      <c r="AP31" s="15">
        <f t="shared" si="13"/>
        <v>0</v>
      </c>
      <c r="AQ31" s="15">
        <f t="shared" si="14"/>
        <v>0</v>
      </c>
      <c r="AR31" s="15">
        <f t="shared" si="15"/>
        <v>0</v>
      </c>
      <c r="AS31" s="15">
        <f t="shared" si="16"/>
        <v>0</v>
      </c>
      <c r="AT31">
        <f t="shared" si="17"/>
        <v>0</v>
      </c>
      <c r="AU31">
        <f t="shared" si="18"/>
        <v>0</v>
      </c>
      <c r="AV31" t="b">
        <f>IF(OR(F31="Undefined",H31="Undefined",J31="Undefined",L31="Undefined",N31="Undefined",P31="Undefined",R31="Undefined",T31="Undefined",'Pre-Mitigated VA'!$VA31=TRUE),TRUE, FALSE)</f>
        <v>1</v>
      </c>
      <c r="AW31"/>
      <c r="AX31"/>
      <c r="AY31"/>
      <c r="AZ31"/>
    </row>
    <row r="32" spans="1:52" ht="76.05" customHeight="1" x14ac:dyDescent="0.25">
      <c r="A32" s="38">
        <f>IF(ISBLANK('Pre-Mitigated VA'!A32),"",'Pre-Mitigated VA'!A32)</f>
        <v>100</v>
      </c>
      <c r="B32" s="26" t="str">
        <f>IF(ISBLANK('Pre-Mitigated VA'!B32),"",'Pre-Mitigated VA'!B32)</f>
        <v xml:space="preserve">Spoofed Communication on USB in to Lock or Spoofed Device Lock Zigbee Module </v>
      </c>
      <c r="C32" s="26" t="str">
        <f>IF(ISBLANK('Pre-Mitigated VA'!C32),"",'Pre-Mitigated VA'!C32)</f>
        <v>USB in to Lock - Spoofing</v>
      </c>
      <c r="D32" s="26" t="str">
        <f>IF(ISBLANK('Pre-Mitigated VA'!D32),"",'Pre-Mitigated VA'!D32)</f>
        <v>The wired or wireless connection, USB in to Lock, is replaced with an adversary's spoofed implementation, or Lock Zigbee Module , the source of data communicated over USB in to Lock, is not properly authenticated and verified.</v>
      </c>
      <c r="E32" s="38" t="str">
        <f>IF(ISBLANK('Pre-Mitigated VA'!E32),"",'Pre-Mitigated VA'!E32)</f>
        <v>Undefined</v>
      </c>
      <c r="F32" s="27" t="s">
        <v>45</v>
      </c>
      <c r="G32" s="27"/>
      <c r="H32" s="27" t="s">
        <v>45</v>
      </c>
      <c r="I32" s="27"/>
      <c r="J32" s="27" t="s">
        <v>45</v>
      </c>
      <c r="K32" s="27"/>
      <c r="L32" s="27" t="s">
        <v>45</v>
      </c>
      <c r="M32" s="27"/>
      <c r="N32" s="27" t="s">
        <v>45</v>
      </c>
      <c r="O32" s="27"/>
      <c r="P32" s="27" t="s">
        <v>45</v>
      </c>
      <c r="Q32" s="27"/>
      <c r="R32" s="31" t="s">
        <v>45</v>
      </c>
      <c r="S32" s="27"/>
      <c r="T32" s="27" t="s">
        <v>15</v>
      </c>
      <c r="U32" s="27"/>
      <c r="V32" s="28" t="str">
        <f>'Pre-Mitigated VA'!V32</f>
        <v>INCOMPLETE</v>
      </c>
      <c r="W32" s="30" t="str">
        <f t="shared" si="0"/>
        <v>INCOMPLETE</v>
      </c>
      <c r="X32" s="34"/>
      <c r="Y32" s="34"/>
      <c r="AA32">
        <f t="shared" si="1"/>
        <v>0</v>
      </c>
      <c r="AB32">
        <f t="shared" si="2"/>
        <v>0</v>
      </c>
      <c r="AC32">
        <f t="shared" si="3"/>
        <v>0</v>
      </c>
      <c r="AD32">
        <f t="shared" si="4"/>
        <v>0</v>
      </c>
      <c r="AE32">
        <f t="shared" si="5"/>
        <v>0</v>
      </c>
      <c r="AF32">
        <f t="shared" si="6"/>
        <v>0</v>
      </c>
      <c r="AG32">
        <f t="shared" si="7"/>
        <v>0</v>
      </c>
      <c r="AH32">
        <f t="shared" si="8"/>
        <v>0</v>
      </c>
      <c r="AI32">
        <f t="shared" si="9"/>
        <v>0</v>
      </c>
      <c r="AJ32">
        <f>IF( $AV32=FALSE,VLOOKUP(Properties!$B$4, Confidentiality_Requirement,3,FALSE),0)</f>
        <v>0</v>
      </c>
      <c r="AK32">
        <f>IF( $AV32=FALSE,VLOOKUP(Properties!$B$5, Integrity_Requirement,3,FALSE),0)</f>
        <v>0</v>
      </c>
      <c r="AL32">
        <f>IF( $AV32=FALSE,VLOOKUP(Properties!$B$6, Availability_Requirement,3,FALSE),0)</f>
        <v>0</v>
      </c>
      <c r="AM32" s="14">
        <f t="shared" si="10"/>
        <v>0</v>
      </c>
      <c r="AN32" s="14">
        <f t="shared" si="11"/>
        <v>0</v>
      </c>
      <c r="AO32" s="4">
        <f t="shared" si="12"/>
        <v>0</v>
      </c>
      <c r="AP32" s="15">
        <f t="shared" si="13"/>
        <v>0</v>
      </c>
      <c r="AQ32" s="15">
        <f t="shared" si="14"/>
        <v>0</v>
      </c>
      <c r="AR32" s="15">
        <f t="shared" si="15"/>
        <v>0</v>
      </c>
      <c r="AS32" s="15">
        <f t="shared" si="16"/>
        <v>0</v>
      </c>
      <c r="AT32">
        <f t="shared" si="17"/>
        <v>0</v>
      </c>
      <c r="AU32">
        <f t="shared" si="18"/>
        <v>0</v>
      </c>
      <c r="AV32" t="b">
        <f>IF(OR(F32="Undefined",H32="Undefined",J32="Undefined",L32="Undefined",N32="Undefined",P32="Undefined",R32="Undefined",T32="Undefined",'Pre-Mitigated VA'!$VA32=TRUE),TRUE, FALSE)</f>
        <v>1</v>
      </c>
      <c r="AW32"/>
      <c r="AX32"/>
      <c r="AY32"/>
      <c r="AZ32"/>
    </row>
    <row r="33" spans="1:52" ht="193.95" customHeight="1" x14ac:dyDescent="0.25">
      <c r="A33" s="38">
        <f>IF(ISBLANK('Pre-Mitigated VA'!A33),"",'Pre-Mitigated VA'!A33)</f>
        <v>101</v>
      </c>
      <c r="B33" s="26" t="str">
        <f>IF(ISBLANK('Pre-Mitigated VA'!B33),"",'Pre-Mitigated VA'!B33)</f>
        <v>Tampering with Communicated Data on USB in to Lock</v>
      </c>
      <c r="C33" s="26" t="str">
        <f>IF(ISBLANK('Pre-Mitigated VA'!C33),"",'Pre-Mitigated VA'!C33)</f>
        <v>USB in to Lock - Tampering</v>
      </c>
      <c r="D33" s="26" t="str">
        <f>IF(ISBLANK('Pre-Mitigated VA'!D33),"",'Pre-Mitigated VA'!D33)</f>
        <v>An adversary may tamper with communicated data on USB in to Lock, and if data are not properly verified for integrity prior to accepting or acting upon the data, then the system may behave in an unintended manner.</v>
      </c>
      <c r="E33" s="38" t="str">
        <f>IF(ISBLANK('Pre-Mitigated VA'!E33),"",'Pre-Mitigated VA'!E33)</f>
        <v>Undefined</v>
      </c>
      <c r="F33" s="27" t="s">
        <v>45</v>
      </c>
      <c r="G33" s="27"/>
      <c r="H33" s="27" t="s">
        <v>45</v>
      </c>
      <c r="I33" s="27"/>
      <c r="J33" s="27" t="s">
        <v>45</v>
      </c>
      <c r="K33" s="27"/>
      <c r="L33" s="27" t="s">
        <v>45</v>
      </c>
      <c r="M33" s="27"/>
      <c r="N33" s="27" t="s">
        <v>45</v>
      </c>
      <c r="O33" s="27"/>
      <c r="P33" s="27" t="s">
        <v>45</v>
      </c>
      <c r="Q33" s="27"/>
      <c r="R33" s="31" t="s">
        <v>45</v>
      </c>
      <c r="S33" s="27"/>
      <c r="T33" s="27" t="s">
        <v>15</v>
      </c>
      <c r="U33" s="27"/>
      <c r="V33" s="28" t="str">
        <f>'Pre-Mitigated VA'!V33</f>
        <v>INCOMPLETE</v>
      </c>
      <c r="W33" s="30" t="str">
        <f t="shared" si="0"/>
        <v>INCOMPLETE</v>
      </c>
      <c r="X33" s="34"/>
      <c r="Y33" s="34"/>
      <c r="AA33">
        <f t="shared" si="1"/>
        <v>0</v>
      </c>
      <c r="AB33">
        <f t="shared" si="2"/>
        <v>0</v>
      </c>
      <c r="AC33">
        <f t="shared" si="3"/>
        <v>0</v>
      </c>
      <c r="AD33">
        <f t="shared" si="4"/>
        <v>0</v>
      </c>
      <c r="AE33">
        <f t="shared" si="5"/>
        <v>0</v>
      </c>
      <c r="AF33">
        <f t="shared" si="6"/>
        <v>0</v>
      </c>
      <c r="AG33">
        <f t="shared" si="7"/>
        <v>0</v>
      </c>
      <c r="AH33">
        <f t="shared" si="8"/>
        <v>0</v>
      </c>
      <c r="AI33">
        <f t="shared" si="9"/>
        <v>0</v>
      </c>
      <c r="AJ33">
        <f>IF( $AV33=FALSE,VLOOKUP(Properties!$B$4, Confidentiality_Requirement,3,FALSE),0)</f>
        <v>0</v>
      </c>
      <c r="AK33">
        <f>IF( $AV33=FALSE,VLOOKUP(Properties!$B$5, Integrity_Requirement,3,FALSE),0)</f>
        <v>0</v>
      </c>
      <c r="AL33">
        <f>IF( $AV33=FALSE,VLOOKUP(Properties!$B$6, Availability_Requirement,3,FALSE),0)</f>
        <v>0</v>
      </c>
      <c r="AM33" s="14">
        <f t="shared" si="10"/>
        <v>0</v>
      </c>
      <c r="AN33" s="14">
        <f t="shared" si="11"/>
        <v>0</v>
      </c>
      <c r="AO33" s="4">
        <f t="shared" si="12"/>
        <v>0</v>
      </c>
      <c r="AP33" s="15">
        <f t="shared" si="13"/>
        <v>0</v>
      </c>
      <c r="AQ33" s="15">
        <f t="shared" si="14"/>
        <v>0</v>
      </c>
      <c r="AR33" s="15">
        <f t="shared" si="15"/>
        <v>0</v>
      </c>
      <c r="AS33" s="15">
        <f t="shared" si="16"/>
        <v>0</v>
      </c>
      <c r="AT33">
        <f t="shared" si="17"/>
        <v>0</v>
      </c>
      <c r="AU33">
        <f t="shared" si="18"/>
        <v>0</v>
      </c>
      <c r="AV33" t="b">
        <f>IF(OR(F33="Undefined",H33="Undefined",J33="Undefined",L33="Undefined",N33="Undefined",P33="Undefined",R33="Undefined",T33="Undefined",'Pre-Mitigated VA'!$VA33=TRUE),TRUE, FALSE)</f>
        <v>1</v>
      </c>
      <c r="AW33"/>
      <c r="AX33"/>
      <c r="AY33"/>
      <c r="AZ33"/>
    </row>
    <row r="34" spans="1:52" ht="61.95" customHeight="1" x14ac:dyDescent="0.25">
      <c r="A34" s="38">
        <f>IF(ISBLANK('Pre-Mitigated VA'!A34),"",'Pre-Mitigated VA'!A34)</f>
        <v>102</v>
      </c>
      <c r="B34" s="26" t="str">
        <f>IF(ISBLANK('Pre-Mitigated VA'!B34),"",'Pre-Mitigated VA'!B34)</f>
        <v>Sniffing Communications from Lock Zigbee Module  on USB in to Lock</v>
      </c>
      <c r="C34" s="26" t="str">
        <f>IF(ISBLANK('Pre-Mitigated VA'!C34),"",'Pre-Mitigated VA'!C34)</f>
        <v>USB in to Lock - Information Disclosure</v>
      </c>
      <c r="D34" s="26" t="str">
        <f>IF(ISBLANK('Pre-Mitigated VA'!D34),"",'Pre-Mitigated VA'!D34)</f>
        <v>An adversary can gain access to sensitive data in an unauthorized manner by sniffing communications on USB in to Lock due to a lack of data confidentiality protections.</v>
      </c>
      <c r="E34" s="38" t="str">
        <f>IF(ISBLANK('Pre-Mitigated VA'!E34),"",'Pre-Mitigated VA'!E34)</f>
        <v>Undefined</v>
      </c>
      <c r="F34" s="27" t="s">
        <v>45</v>
      </c>
      <c r="G34" s="27"/>
      <c r="H34" s="27" t="s">
        <v>45</v>
      </c>
      <c r="I34" s="27"/>
      <c r="J34" s="27" t="s">
        <v>45</v>
      </c>
      <c r="K34" s="27"/>
      <c r="L34" s="27" t="s">
        <v>45</v>
      </c>
      <c r="M34" s="27"/>
      <c r="N34" s="27" t="s">
        <v>45</v>
      </c>
      <c r="O34" s="27"/>
      <c r="P34" s="27" t="s">
        <v>45</v>
      </c>
      <c r="Q34" s="27"/>
      <c r="R34" s="31" t="s">
        <v>45</v>
      </c>
      <c r="S34" s="27"/>
      <c r="T34" s="27" t="s">
        <v>15</v>
      </c>
      <c r="U34" s="27"/>
      <c r="V34" s="28" t="str">
        <f>'Pre-Mitigated VA'!V34</f>
        <v>INCOMPLETE</v>
      </c>
      <c r="W34" s="30" t="str">
        <f t="shared" si="0"/>
        <v>INCOMPLETE</v>
      </c>
      <c r="X34" s="34"/>
      <c r="Y34" s="34"/>
      <c r="AA34">
        <f t="shared" si="1"/>
        <v>0</v>
      </c>
      <c r="AB34">
        <f t="shared" si="2"/>
        <v>0</v>
      </c>
      <c r="AC34">
        <f t="shared" si="3"/>
        <v>0</v>
      </c>
      <c r="AD34">
        <f t="shared" si="4"/>
        <v>0</v>
      </c>
      <c r="AE34">
        <f t="shared" si="5"/>
        <v>0</v>
      </c>
      <c r="AF34">
        <f t="shared" si="6"/>
        <v>0</v>
      </c>
      <c r="AG34">
        <f t="shared" si="7"/>
        <v>0</v>
      </c>
      <c r="AH34">
        <f t="shared" si="8"/>
        <v>0</v>
      </c>
      <c r="AI34">
        <f t="shared" si="9"/>
        <v>0</v>
      </c>
      <c r="AJ34">
        <f>IF( $AV34=FALSE,VLOOKUP(Properties!$B$4, Confidentiality_Requirement,3,FALSE),0)</f>
        <v>0</v>
      </c>
      <c r="AK34">
        <f>IF( $AV34=FALSE,VLOOKUP(Properties!$B$5, Integrity_Requirement,3,FALSE),0)</f>
        <v>0</v>
      </c>
      <c r="AL34">
        <f>IF( $AV34=FALSE,VLOOKUP(Properties!$B$6, Availability_Requirement,3,FALSE),0)</f>
        <v>0</v>
      </c>
      <c r="AM34" s="14">
        <f t="shared" si="10"/>
        <v>0</v>
      </c>
      <c r="AN34" s="14">
        <f t="shared" si="11"/>
        <v>0</v>
      </c>
      <c r="AO34" s="4">
        <f t="shared" si="12"/>
        <v>0</v>
      </c>
      <c r="AP34" s="15">
        <f t="shared" si="13"/>
        <v>0</v>
      </c>
      <c r="AQ34" s="15">
        <f t="shared" si="14"/>
        <v>0</v>
      </c>
      <c r="AR34" s="15">
        <f t="shared" si="15"/>
        <v>0</v>
      </c>
      <c r="AS34" s="15">
        <f t="shared" si="16"/>
        <v>0</v>
      </c>
      <c r="AT34">
        <f t="shared" si="17"/>
        <v>0</v>
      </c>
      <c r="AU34">
        <f t="shared" si="18"/>
        <v>0</v>
      </c>
      <c r="AV34" t="b">
        <f>IF(OR(F34="Undefined",H34="Undefined",J34="Undefined",L34="Undefined",N34="Undefined",P34="Undefined",R34="Undefined",T34="Undefined",'Pre-Mitigated VA'!$VA34=TRUE),TRUE, FALSE)</f>
        <v>1</v>
      </c>
      <c r="AW34"/>
      <c r="AX34"/>
      <c r="AY34"/>
      <c r="AZ34"/>
    </row>
    <row r="35" spans="1:52" ht="48" customHeight="1" x14ac:dyDescent="0.25">
      <c r="A35" s="38">
        <f>IF(ISBLANK('Pre-Mitigated VA'!A35),"",'Pre-Mitigated VA'!A35)</f>
        <v>103</v>
      </c>
      <c r="B35" s="26" t="str">
        <f>IF(ISBLANK('Pre-Mitigated VA'!B35),"",'Pre-Mitigated VA'!B35)</f>
        <v>Interuption or Corruption of Data on USB in to Lock</v>
      </c>
      <c r="C35" s="26" t="str">
        <f>IF(ISBLANK('Pre-Mitigated VA'!C35),"",'Pre-Mitigated VA'!C35)</f>
        <v>USB in to Lock - Denial of Service</v>
      </c>
      <c r="D35" s="26" t="str">
        <f>IF(ISBLANK('Pre-Mitigated VA'!D35),"",'Pre-Mitigated VA'!D35)</f>
        <v>An external agent interrupts or corrupts data flowing on USB in to Lock, denying the availability of the communicated data.</v>
      </c>
      <c r="E35" s="38" t="str">
        <f>IF(ISBLANK('Pre-Mitigated VA'!E35),"",'Pre-Mitigated VA'!E35)</f>
        <v>No</v>
      </c>
      <c r="F35" s="27" t="s">
        <v>12</v>
      </c>
      <c r="G35" s="27"/>
      <c r="H35" s="27" t="s">
        <v>2</v>
      </c>
      <c r="I35" s="27"/>
      <c r="J35" s="27" t="s">
        <v>55</v>
      </c>
      <c r="K35" s="27"/>
      <c r="L35" s="27" t="s">
        <v>15</v>
      </c>
      <c r="M35" s="27"/>
      <c r="N35" s="27" t="s">
        <v>15</v>
      </c>
      <c r="O35" s="27"/>
      <c r="P35" s="27" t="s">
        <v>15</v>
      </c>
      <c r="Q35" s="27"/>
      <c r="R35" s="31" t="s">
        <v>63</v>
      </c>
      <c r="S35" s="27"/>
      <c r="T35" s="27" t="s">
        <v>15</v>
      </c>
      <c r="U35" s="27"/>
      <c r="V35" s="28">
        <f>'Pre-Mitigated VA'!V35</f>
        <v>8.1</v>
      </c>
      <c r="W35" s="30">
        <f t="shared" si="0"/>
        <v>3</v>
      </c>
      <c r="X35" s="34"/>
      <c r="Y35" s="34" t="s">
        <v>474</v>
      </c>
      <c r="AA35">
        <f t="shared" si="1"/>
        <v>0.39500000000000002</v>
      </c>
      <c r="AB35">
        <f t="shared" si="2"/>
        <v>0.35</v>
      </c>
      <c r="AC35">
        <f t="shared" si="3"/>
        <v>0.45</v>
      </c>
      <c r="AD35">
        <f t="shared" si="4"/>
        <v>0</v>
      </c>
      <c r="AE35">
        <f t="shared" si="5"/>
        <v>0</v>
      </c>
      <c r="AF35">
        <f t="shared" si="6"/>
        <v>0</v>
      </c>
      <c r="AG35">
        <f t="shared" si="7"/>
        <v>0</v>
      </c>
      <c r="AH35">
        <f t="shared" si="8"/>
        <v>0.3</v>
      </c>
      <c r="AI35">
        <f t="shared" si="9"/>
        <v>0</v>
      </c>
      <c r="AJ35">
        <f>IF( $AV35=FALSE,VLOOKUP(Properties!$B$4, Confidentiality_Requirement,3,FALSE),0)</f>
        <v>1.51</v>
      </c>
      <c r="AK35">
        <f>IF( $AV35=FALSE,VLOOKUP(Properties!$B$5, Integrity_Requirement,3,FALSE),0)</f>
        <v>1.51</v>
      </c>
      <c r="AL35">
        <f>IF( $AV35=FALSE,VLOOKUP(Properties!$B$6, Availability_Requirement,3,FALSE),0)</f>
        <v>1.51</v>
      </c>
      <c r="AM35" s="14">
        <f t="shared" si="10"/>
        <v>0</v>
      </c>
      <c r="AN35" s="14">
        <f t="shared" si="11"/>
        <v>1.2442500000000001</v>
      </c>
      <c r="AO35" s="4">
        <f t="shared" si="12"/>
        <v>0</v>
      </c>
      <c r="AP35" s="15">
        <f t="shared" si="13"/>
        <v>0</v>
      </c>
      <c r="AQ35" s="15">
        <f t="shared" si="14"/>
        <v>0</v>
      </c>
      <c r="AR35" s="15">
        <f t="shared" si="15"/>
        <v>0</v>
      </c>
      <c r="AS35" s="15">
        <f t="shared" si="16"/>
        <v>3</v>
      </c>
      <c r="AT35">
        <f t="shared" si="17"/>
        <v>3</v>
      </c>
      <c r="AU35">
        <f t="shared" si="18"/>
        <v>3</v>
      </c>
      <c r="AV35" t="b">
        <f>IF(OR(F35="Undefined",H35="Undefined",J35="Undefined",L35="Undefined",N35="Undefined",P35="Undefined",R35="Undefined",T35="Undefined",'Pre-Mitigated VA'!$VA35=TRUE),TRUE, FALSE)</f>
        <v>0</v>
      </c>
      <c r="AW35"/>
      <c r="AX35"/>
      <c r="AY35"/>
      <c r="AZ35"/>
    </row>
    <row r="36" spans="1:52" ht="76.05" customHeight="1" x14ac:dyDescent="0.25">
      <c r="A36" s="38">
        <f>IF(ISBLANK('Pre-Mitigated VA'!A36),"",'Pre-Mitigated VA'!A36)</f>
        <v>110</v>
      </c>
      <c r="B36" s="26" t="str">
        <f>IF(ISBLANK('Pre-Mitigated VA'!B36),"",'Pre-Mitigated VA'!B36)</f>
        <v xml:space="preserve">Spoofed Communication on USB out from Zigbee or Spoofed Device User Device Zigbee Module </v>
      </c>
      <c r="C36" s="26" t="str">
        <f>IF(ISBLANK('Pre-Mitigated VA'!C36),"",'Pre-Mitigated VA'!C36)</f>
        <v>USB out from Zigbee - Spoofing</v>
      </c>
      <c r="D36" s="26" t="str">
        <f>IF(ISBLANK('Pre-Mitigated VA'!D36),"",'Pre-Mitigated VA'!D36)</f>
        <v>The wired or wireless connection, USB out from Zigbee, is replaced with an adversary's spoofed implementation, or User Device Zigbee Module , the source of data communicated over USB out from Zigbee, is not properly authenticated and verified.</v>
      </c>
      <c r="E36" s="38" t="str">
        <f>IF(ISBLANK('Pre-Mitigated VA'!E36),"",'Pre-Mitigated VA'!E36)</f>
        <v>No</v>
      </c>
      <c r="F36" s="27" t="s">
        <v>13</v>
      </c>
      <c r="G36" s="27"/>
      <c r="H36" s="27" t="s">
        <v>2</v>
      </c>
      <c r="I36" s="27"/>
      <c r="J36" s="27" t="s">
        <v>55</v>
      </c>
      <c r="K36" s="27"/>
      <c r="L36" s="27" t="s">
        <v>15</v>
      </c>
      <c r="M36" s="27"/>
      <c r="N36" s="27" t="s">
        <v>16</v>
      </c>
      <c r="O36" s="27"/>
      <c r="P36" s="27" t="s">
        <v>15</v>
      </c>
      <c r="Q36" s="27"/>
      <c r="R36" s="31" t="s">
        <v>3</v>
      </c>
      <c r="S36" s="27"/>
      <c r="T36" s="27" t="s">
        <v>15</v>
      </c>
      <c r="U36" s="27"/>
      <c r="V36" s="28">
        <f>'Pre-Mitigated VA'!V36</f>
        <v>8.8000000000000007</v>
      </c>
      <c r="W36" s="30">
        <f t="shared" si="0"/>
        <v>3</v>
      </c>
      <c r="X36" s="34"/>
      <c r="Y36" s="34" t="s">
        <v>501</v>
      </c>
      <c r="AA36">
        <f t="shared" si="1"/>
        <v>0.64600000000000002</v>
      </c>
      <c r="AB36">
        <f t="shared" si="2"/>
        <v>0.35</v>
      </c>
      <c r="AC36">
        <f t="shared" si="3"/>
        <v>0.45</v>
      </c>
      <c r="AD36">
        <f t="shared" si="4"/>
        <v>0</v>
      </c>
      <c r="AE36">
        <f t="shared" si="5"/>
        <v>0.27500000000000002</v>
      </c>
      <c r="AF36">
        <f t="shared" si="6"/>
        <v>0</v>
      </c>
      <c r="AG36">
        <f t="shared" si="7"/>
        <v>1.2</v>
      </c>
      <c r="AH36">
        <f t="shared" si="8"/>
        <v>0.1</v>
      </c>
      <c r="AI36">
        <f t="shared" si="9"/>
        <v>0</v>
      </c>
      <c r="AJ36">
        <f>IF( $AV36=FALSE,VLOOKUP(Properties!$B$4, Confidentiality_Requirement,3,FALSE),0)</f>
        <v>1.51</v>
      </c>
      <c r="AK36">
        <f>IF( $AV36=FALSE,VLOOKUP(Properties!$B$5, Integrity_Requirement,3,FALSE),0)</f>
        <v>1.51</v>
      </c>
      <c r="AL36">
        <f>IF( $AV36=FALSE,VLOOKUP(Properties!$B$6, Availability_Requirement,3,FALSE),0)</f>
        <v>1.51</v>
      </c>
      <c r="AM36" s="14">
        <f t="shared" si="10"/>
        <v>2.8627500000000001</v>
      </c>
      <c r="AN36" s="14">
        <f t="shared" si="11"/>
        <v>2.0348999999999999</v>
      </c>
      <c r="AO36" s="4">
        <f t="shared" si="12"/>
        <v>1.1759999999999999</v>
      </c>
      <c r="AP36" s="15">
        <f t="shared" si="13"/>
        <v>4.3</v>
      </c>
      <c r="AQ36" s="15">
        <f t="shared" si="14"/>
        <v>2.2000000000000002</v>
      </c>
      <c r="AR36" s="15">
        <f t="shared" si="15"/>
        <v>2.2000000000000002</v>
      </c>
      <c r="AS36" s="15">
        <f t="shared" si="16"/>
        <v>3</v>
      </c>
      <c r="AT36">
        <f t="shared" si="17"/>
        <v>3</v>
      </c>
      <c r="AU36">
        <f t="shared" si="18"/>
        <v>3</v>
      </c>
      <c r="AV36" t="b">
        <f>IF(OR(F36="Undefined",H36="Undefined",J36="Undefined",L36="Undefined",N36="Undefined",P36="Undefined",R36="Undefined",T36="Undefined",'Pre-Mitigated VA'!$VA36=TRUE),TRUE, FALSE)</f>
        <v>0</v>
      </c>
      <c r="AW36"/>
      <c r="AX36"/>
      <c r="AY36"/>
      <c r="AZ36"/>
    </row>
    <row r="37" spans="1:52" ht="193.95" customHeight="1" x14ac:dyDescent="0.25">
      <c r="A37" s="38">
        <f>IF(ISBLANK('Pre-Mitigated VA'!A37),"",'Pre-Mitigated VA'!A37)</f>
        <v>111</v>
      </c>
      <c r="B37" s="26" t="str">
        <f>IF(ISBLANK('Pre-Mitigated VA'!B37),"",'Pre-Mitigated VA'!B37)</f>
        <v>Tampering with Communicated Data on USB out from Zigbee</v>
      </c>
      <c r="C37" s="26" t="str">
        <f>IF(ISBLANK('Pre-Mitigated VA'!C37),"",'Pre-Mitigated VA'!C37)</f>
        <v>USB out from Zigbee - Tampering</v>
      </c>
      <c r="D37" s="26" t="str">
        <f>IF(ISBLANK('Pre-Mitigated VA'!D37),"",'Pre-Mitigated VA'!D37)</f>
        <v>An adversary may tamper with communicated data on USB out from Zigbee, and if data are not properly verified for integrity prior to accepting or acting upon the data, then the system may behave in an unintended manner.</v>
      </c>
      <c r="E37" s="38" t="str">
        <f>IF(ISBLANK('Pre-Mitigated VA'!E37),"",'Pre-Mitigated VA'!E37)</f>
        <v>Undefined</v>
      </c>
      <c r="F37" s="27" t="s">
        <v>45</v>
      </c>
      <c r="G37" s="27"/>
      <c r="H37" s="27" t="s">
        <v>45</v>
      </c>
      <c r="I37" s="27"/>
      <c r="J37" s="27" t="s">
        <v>45</v>
      </c>
      <c r="K37" s="27"/>
      <c r="L37" s="27" t="s">
        <v>45</v>
      </c>
      <c r="M37" s="27"/>
      <c r="N37" s="27" t="s">
        <v>45</v>
      </c>
      <c r="O37" s="27"/>
      <c r="P37" s="27" t="s">
        <v>45</v>
      </c>
      <c r="Q37" s="27"/>
      <c r="R37" s="31" t="s">
        <v>45</v>
      </c>
      <c r="S37" s="27"/>
      <c r="T37" s="27" t="s">
        <v>15</v>
      </c>
      <c r="U37" s="27"/>
      <c r="V37" s="28" t="str">
        <f>'Pre-Mitigated VA'!V37</f>
        <v>INCOMPLETE</v>
      </c>
      <c r="W37" s="30" t="str">
        <f t="shared" si="0"/>
        <v>INCOMPLETE</v>
      </c>
      <c r="X37" s="34"/>
      <c r="Y37" s="34"/>
      <c r="AA37">
        <f t="shared" si="1"/>
        <v>0</v>
      </c>
      <c r="AB37">
        <f t="shared" si="2"/>
        <v>0</v>
      </c>
      <c r="AC37">
        <f t="shared" si="3"/>
        <v>0</v>
      </c>
      <c r="AD37">
        <f t="shared" si="4"/>
        <v>0</v>
      </c>
      <c r="AE37">
        <f t="shared" si="5"/>
        <v>0</v>
      </c>
      <c r="AF37">
        <f t="shared" si="6"/>
        <v>0</v>
      </c>
      <c r="AG37">
        <f t="shared" si="7"/>
        <v>0</v>
      </c>
      <c r="AH37">
        <f t="shared" si="8"/>
        <v>0</v>
      </c>
      <c r="AI37">
        <f t="shared" si="9"/>
        <v>0</v>
      </c>
      <c r="AJ37">
        <f>IF( $AV37=FALSE,VLOOKUP(Properties!$B$4, Confidentiality_Requirement,3,FALSE),0)</f>
        <v>0</v>
      </c>
      <c r="AK37">
        <f>IF( $AV37=FALSE,VLOOKUP(Properties!$B$5, Integrity_Requirement,3,FALSE),0)</f>
        <v>0</v>
      </c>
      <c r="AL37">
        <f>IF( $AV37=FALSE,VLOOKUP(Properties!$B$6, Availability_Requirement,3,FALSE),0)</f>
        <v>0</v>
      </c>
      <c r="AM37" s="14">
        <f t="shared" si="10"/>
        <v>0</v>
      </c>
      <c r="AN37" s="14">
        <f t="shared" si="11"/>
        <v>0</v>
      </c>
      <c r="AO37" s="4">
        <f t="shared" si="12"/>
        <v>0</v>
      </c>
      <c r="AP37" s="15">
        <f t="shared" si="13"/>
        <v>0</v>
      </c>
      <c r="AQ37" s="15">
        <f t="shared" si="14"/>
        <v>0</v>
      </c>
      <c r="AR37" s="15">
        <f t="shared" si="15"/>
        <v>0</v>
      </c>
      <c r="AS37" s="15">
        <f t="shared" si="16"/>
        <v>0</v>
      </c>
      <c r="AT37">
        <f t="shared" si="17"/>
        <v>0</v>
      </c>
      <c r="AU37">
        <f t="shared" si="18"/>
        <v>0</v>
      </c>
      <c r="AV37" t="b">
        <f>IF(OR(F37="Undefined",H37="Undefined",J37="Undefined",L37="Undefined",N37="Undefined",P37="Undefined",R37="Undefined",T37="Undefined",'Pre-Mitigated VA'!$VA37=TRUE),TRUE, FALSE)</f>
        <v>1</v>
      </c>
      <c r="AW37"/>
      <c r="AX37"/>
      <c r="AY37"/>
      <c r="AZ37"/>
    </row>
    <row r="38" spans="1:52" ht="61.95" customHeight="1" x14ac:dyDescent="0.25">
      <c r="A38" s="38">
        <f>IF(ISBLANK('Pre-Mitigated VA'!A38),"",'Pre-Mitigated VA'!A38)</f>
        <v>112</v>
      </c>
      <c r="B38" s="26" t="str">
        <f>IF(ISBLANK('Pre-Mitigated VA'!B38),"",'Pre-Mitigated VA'!B38)</f>
        <v>Sniffing Communications from User Device Zigbee Module  on USB out from Zigbee</v>
      </c>
      <c r="C38" s="26" t="str">
        <f>IF(ISBLANK('Pre-Mitigated VA'!C38),"",'Pre-Mitigated VA'!C38)</f>
        <v>USB out from Zigbee - Information Disclosure</v>
      </c>
      <c r="D38" s="26" t="str">
        <f>IF(ISBLANK('Pre-Mitigated VA'!D38),"",'Pre-Mitigated VA'!D38)</f>
        <v>An adversary can gain access to sensitive data in an unauthorized manner by sniffing communications on USB out from Zigbee due to a lack of data confidentiality protections.</v>
      </c>
      <c r="E38" s="38" t="str">
        <f>IF(ISBLANK('Pre-Mitigated VA'!E38),"",'Pre-Mitigated VA'!E38)</f>
        <v>Undefined</v>
      </c>
      <c r="F38" s="27" t="s">
        <v>45</v>
      </c>
      <c r="G38" s="27"/>
      <c r="H38" s="27" t="s">
        <v>45</v>
      </c>
      <c r="I38" s="27"/>
      <c r="J38" s="27" t="s">
        <v>45</v>
      </c>
      <c r="K38" s="27"/>
      <c r="L38" s="27" t="s">
        <v>45</v>
      </c>
      <c r="M38" s="27"/>
      <c r="N38" s="27" t="s">
        <v>45</v>
      </c>
      <c r="O38" s="27"/>
      <c r="P38" s="27" t="s">
        <v>45</v>
      </c>
      <c r="Q38" s="27"/>
      <c r="R38" s="31" t="s">
        <v>45</v>
      </c>
      <c r="S38" s="27"/>
      <c r="T38" s="27" t="s">
        <v>15</v>
      </c>
      <c r="U38" s="27"/>
      <c r="V38" s="28" t="str">
        <f>'Pre-Mitigated VA'!V38</f>
        <v>INCOMPLETE</v>
      </c>
      <c r="W38" s="30" t="str">
        <f t="shared" ref="W38:W66" si="19">IF($AV38,"INCOMPLETE", IF(AT38&lt;0,0,AT38))</f>
        <v>INCOMPLETE</v>
      </c>
      <c r="X38" s="34"/>
      <c r="Y38" s="34"/>
      <c r="AA38">
        <f t="shared" ref="AA38:AA66" si="20">IF( $AV38 = FALSE,VLOOKUP($F38,Access_Vector,3,FALSE),0)</f>
        <v>0</v>
      </c>
      <c r="AB38">
        <f t="shared" ref="AB38:AB66" si="21">IF( $AV38= FALSE,VLOOKUP($H38,Access_Complexity,3,FALSE),0)</f>
        <v>0</v>
      </c>
      <c r="AC38">
        <f t="shared" ref="AC38:AC66" si="22">IF($AV38=FALSE,VLOOKUP($J38,Authentication,3,FALSE),0)</f>
        <v>0</v>
      </c>
      <c r="AD38">
        <f t="shared" ref="AD38:AD66" si="23">IF( $AV38=FALSE,VLOOKUP($L38,Confidentiality_Impact,3,FALSE),0)</f>
        <v>0</v>
      </c>
      <c r="AE38">
        <f t="shared" ref="AE38:AE66" si="24">IF( $AV38=FALSE,VLOOKUP($N38,Integrity_Impact,3,FALSE),0)</f>
        <v>0</v>
      </c>
      <c r="AF38">
        <f t="shared" ref="AF38:AF66" si="25">IF( $AV38=FALSE,VLOOKUP($P38,Availability_Impact,3,FALSE),0)</f>
        <v>0</v>
      </c>
      <c r="AG38">
        <f t="shared" ref="AG38:AG66" si="26">IF($AV38=FALSE, ROUND(((0.6*$AM38)+(0.4*$AN38)-1.5)*$AO38,1), 0)</f>
        <v>0</v>
      </c>
      <c r="AH38">
        <f t="shared" ref="AH38:AH66" si="27">IF( $AV38=FALSE,VLOOKUP($R38,Collateral_Damage_Potential,3,FALSE),0)</f>
        <v>0</v>
      </c>
      <c r="AI38">
        <f t="shared" ref="AI38:AI66" si="28">IF($AV38=FALSE,VLOOKUP($T38,Awareness,3,FALSE),0)</f>
        <v>0</v>
      </c>
      <c r="AJ38">
        <f>IF( $AV38=FALSE,VLOOKUP(Properties!$B$4, Confidentiality_Requirement,3,FALSE),0)</f>
        <v>0</v>
      </c>
      <c r="AK38">
        <f>IF( $AV38=FALSE,VLOOKUP(Properties!$B$5, Integrity_Requirement,3,FALSE),0)</f>
        <v>0</v>
      </c>
      <c r="AL38">
        <f>IF( $AV38=FALSE,VLOOKUP(Properties!$B$6, Availability_Requirement,3,FALSE),0)</f>
        <v>0</v>
      </c>
      <c r="AM38" s="14">
        <f t="shared" ref="AM38:AM66" si="29">10.41*(1-(1-$AD38)*(1-$AE38)*(1-$AF38))</f>
        <v>0</v>
      </c>
      <c r="AN38" s="14">
        <f t="shared" ref="AN38:AN66" si="30">20*$AB38*$AC38*$AA38</f>
        <v>0</v>
      </c>
      <c r="AO38" s="4">
        <f t="shared" ref="AO38:AO66" si="31">IF(($AM38 &gt; 0), 1.176, 0)</f>
        <v>0</v>
      </c>
      <c r="AP38" s="15">
        <f t="shared" ref="AP38:AP66" si="32">ROUND(MIN(10, 10.41*(1-(1-($AD38*$AJ38))*(1-($AE38*$AK38))*(1-($AF38*$AL38)))),1)</f>
        <v>0</v>
      </c>
      <c r="AQ38" s="15">
        <f t="shared" ref="AQ38:AQ66" si="33">ROUND(($AR38*1*1*1),1)</f>
        <v>0</v>
      </c>
      <c r="AR38" s="15">
        <f t="shared" ref="AR38:AR66" si="34">ROUND((((0.6*$AP38)+(0.4*$AN38)-1.5)*$AO38),1)</f>
        <v>0</v>
      </c>
      <c r="AS38" s="15">
        <f t="shared" ref="AS38:AS66" si="35">ROUND(($AQ38+(10-$AQ38)*$AH38),1)</f>
        <v>0</v>
      </c>
      <c r="AT38">
        <f t="shared" ref="AT38:AT66" si="36">+IF($AU38=0, $AG38, $AU38)</f>
        <v>0</v>
      </c>
      <c r="AU38">
        <f t="shared" ref="AU38:AU66" si="37">ROUND(($AS38-($AS38 * $AI38)),1)</f>
        <v>0</v>
      </c>
      <c r="AV38" t="b">
        <f>IF(OR(F38="Undefined",H38="Undefined",J38="Undefined",L38="Undefined",N38="Undefined",P38="Undefined",R38="Undefined",T38="Undefined",'Pre-Mitigated VA'!$VA38=TRUE),TRUE, FALSE)</f>
        <v>1</v>
      </c>
      <c r="AW38"/>
      <c r="AX38"/>
      <c r="AY38"/>
      <c r="AZ38"/>
    </row>
    <row r="39" spans="1:52" ht="48" customHeight="1" x14ac:dyDescent="0.25">
      <c r="A39" s="38">
        <f>IF(ISBLANK('Pre-Mitigated VA'!A39),"",'Pre-Mitigated VA'!A39)</f>
        <v>113</v>
      </c>
      <c r="B39" s="26" t="str">
        <f>IF(ISBLANK('Pre-Mitigated VA'!B39),"",'Pre-Mitigated VA'!B39)</f>
        <v>Interuption or Corruption of Data on USB out from Zigbee</v>
      </c>
      <c r="C39" s="26" t="str">
        <f>IF(ISBLANK('Pre-Mitigated VA'!C39),"",'Pre-Mitigated VA'!C39)</f>
        <v>USB out from Zigbee - Denial of Service</v>
      </c>
      <c r="D39" s="26" t="str">
        <f>IF(ISBLANK('Pre-Mitigated VA'!D39),"",'Pre-Mitigated VA'!D39)</f>
        <v>An external agent interrupts or corrupts data flowing on USB out from Zigbee, denying the availability of the communicated data.</v>
      </c>
      <c r="E39" s="38" t="str">
        <f>IF(ISBLANK('Pre-Mitigated VA'!E39),"",'Pre-Mitigated VA'!E39)</f>
        <v>Undefined</v>
      </c>
      <c r="F39" s="27" t="s">
        <v>45</v>
      </c>
      <c r="G39" s="27"/>
      <c r="H39" s="27" t="s">
        <v>45</v>
      </c>
      <c r="I39" s="27"/>
      <c r="J39" s="27" t="s">
        <v>45</v>
      </c>
      <c r="K39" s="27"/>
      <c r="L39" s="27" t="s">
        <v>45</v>
      </c>
      <c r="M39" s="27"/>
      <c r="N39" s="27" t="s">
        <v>45</v>
      </c>
      <c r="O39" s="27"/>
      <c r="P39" s="27" t="s">
        <v>45</v>
      </c>
      <c r="Q39" s="27"/>
      <c r="R39" s="31" t="s">
        <v>45</v>
      </c>
      <c r="S39" s="27"/>
      <c r="T39" s="27" t="s">
        <v>15</v>
      </c>
      <c r="U39" s="27"/>
      <c r="V39" s="28" t="str">
        <f>'Pre-Mitigated VA'!V39</f>
        <v>INCOMPLETE</v>
      </c>
      <c r="W39" s="30" t="str">
        <f t="shared" si="19"/>
        <v>INCOMPLETE</v>
      </c>
      <c r="X39" s="34"/>
      <c r="Y39" s="34"/>
      <c r="AA39">
        <f t="shared" si="20"/>
        <v>0</v>
      </c>
      <c r="AB39">
        <f t="shared" si="21"/>
        <v>0</v>
      </c>
      <c r="AC39">
        <f t="shared" si="22"/>
        <v>0</v>
      </c>
      <c r="AD39">
        <f t="shared" si="23"/>
        <v>0</v>
      </c>
      <c r="AE39">
        <f t="shared" si="24"/>
        <v>0</v>
      </c>
      <c r="AF39">
        <f t="shared" si="25"/>
        <v>0</v>
      </c>
      <c r="AG39">
        <f t="shared" si="26"/>
        <v>0</v>
      </c>
      <c r="AH39">
        <f t="shared" si="27"/>
        <v>0</v>
      </c>
      <c r="AI39">
        <f t="shared" si="28"/>
        <v>0</v>
      </c>
      <c r="AJ39">
        <f>IF( $AV39=FALSE,VLOOKUP(Properties!$B$4, Confidentiality_Requirement,3,FALSE),0)</f>
        <v>0</v>
      </c>
      <c r="AK39">
        <f>IF( $AV39=FALSE,VLOOKUP(Properties!$B$5, Integrity_Requirement,3,FALSE),0)</f>
        <v>0</v>
      </c>
      <c r="AL39">
        <f>IF( $AV39=FALSE,VLOOKUP(Properties!$B$6, Availability_Requirement,3,FALSE),0)</f>
        <v>0</v>
      </c>
      <c r="AM39" s="14">
        <f t="shared" si="29"/>
        <v>0</v>
      </c>
      <c r="AN39" s="14">
        <f t="shared" si="30"/>
        <v>0</v>
      </c>
      <c r="AO39" s="4">
        <f t="shared" si="31"/>
        <v>0</v>
      </c>
      <c r="AP39" s="15">
        <f t="shared" si="32"/>
        <v>0</v>
      </c>
      <c r="AQ39" s="15">
        <f t="shared" si="33"/>
        <v>0</v>
      </c>
      <c r="AR39" s="15">
        <f t="shared" si="34"/>
        <v>0</v>
      </c>
      <c r="AS39" s="15">
        <f t="shared" si="35"/>
        <v>0</v>
      </c>
      <c r="AT39">
        <f t="shared" si="36"/>
        <v>0</v>
      </c>
      <c r="AU39">
        <f t="shared" si="37"/>
        <v>0</v>
      </c>
      <c r="AV39" t="b">
        <f>IF(OR(F39="Undefined",H39="Undefined",J39="Undefined",L39="Undefined",N39="Undefined",P39="Undefined",R39="Undefined",T39="Undefined",'Pre-Mitigated VA'!$VA39=TRUE),TRUE, FALSE)</f>
        <v>1</v>
      </c>
      <c r="AW39"/>
      <c r="AX39"/>
      <c r="AY39"/>
      <c r="AZ39"/>
    </row>
    <row r="40" spans="1:52" ht="115.05" customHeight="1" x14ac:dyDescent="0.25">
      <c r="A40" s="38">
        <f>IF(ISBLANK('Pre-Mitigated VA'!A40),"",'Pre-Mitigated VA'!A40)</f>
        <v>114</v>
      </c>
      <c r="B40" s="26" t="str">
        <f>IF(ISBLANK('Pre-Mitigated VA'!B40),"",'Pre-Mitigated VA'!B40)</f>
        <v>Unnecessary and Unused Privileged Features or Services</v>
      </c>
      <c r="C40" s="26" t="str">
        <f>IF(ISBLANK('Pre-Mitigated VA'!C40),"",'Pre-Mitigated VA'!C40)</f>
        <v>USB out from Zigbee - Elevation of Privileges</v>
      </c>
      <c r="D40" s="26" t="str">
        <f>IF(ISBLANK('Pre-Mitigated VA'!D40),"",'Pre-Mitigated VA'!D40)</f>
        <v>An adversary may utilize unused features or privileged services on User Application, such as the user interface, USB and other ports, manufacturing features, platform features like camera, microphone or location services, etc. Unused features increase the attack surface and serve as additional entry points for the adversary.</v>
      </c>
      <c r="E40" s="38" t="str">
        <f>IF(ISBLANK('Pre-Mitigated VA'!E40),"",'Pre-Mitigated VA'!E40)</f>
        <v>Undefined</v>
      </c>
      <c r="F40" s="27" t="s">
        <v>45</v>
      </c>
      <c r="G40" s="27"/>
      <c r="H40" s="27" t="s">
        <v>45</v>
      </c>
      <c r="I40" s="27"/>
      <c r="J40" s="27" t="s">
        <v>45</v>
      </c>
      <c r="K40" s="27"/>
      <c r="L40" s="27" t="s">
        <v>45</v>
      </c>
      <c r="M40" s="27"/>
      <c r="N40" s="27" t="s">
        <v>45</v>
      </c>
      <c r="O40" s="27"/>
      <c r="P40" s="27" t="s">
        <v>45</v>
      </c>
      <c r="Q40" s="27"/>
      <c r="R40" s="31" t="s">
        <v>45</v>
      </c>
      <c r="S40" s="27"/>
      <c r="T40" s="27" t="s">
        <v>15</v>
      </c>
      <c r="U40" s="27"/>
      <c r="V40" s="28" t="str">
        <f>'Pre-Mitigated VA'!V40</f>
        <v>INCOMPLETE</v>
      </c>
      <c r="W40" s="30" t="str">
        <f t="shared" si="19"/>
        <v>INCOMPLETE</v>
      </c>
      <c r="X40" s="34"/>
      <c r="Y40" s="34"/>
      <c r="AA40">
        <f t="shared" si="20"/>
        <v>0</v>
      </c>
      <c r="AB40">
        <f t="shared" si="21"/>
        <v>0</v>
      </c>
      <c r="AC40">
        <f t="shared" si="22"/>
        <v>0</v>
      </c>
      <c r="AD40">
        <f t="shared" si="23"/>
        <v>0</v>
      </c>
      <c r="AE40">
        <f t="shared" si="24"/>
        <v>0</v>
      </c>
      <c r="AF40">
        <f t="shared" si="25"/>
        <v>0</v>
      </c>
      <c r="AG40">
        <f t="shared" si="26"/>
        <v>0</v>
      </c>
      <c r="AH40">
        <f t="shared" si="27"/>
        <v>0</v>
      </c>
      <c r="AI40">
        <f t="shared" si="28"/>
        <v>0</v>
      </c>
      <c r="AJ40">
        <f>IF( $AV40=FALSE,VLOOKUP(Properties!$B$4, Confidentiality_Requirement,3,FALSE),0)</f>
        <v>0</v>
      </c>
      <c r="AK40">
        <f>IF( $AV40=FALSE,VLOOKUP(Properties!$B$5, Integrity_Requirement,3,FALSE),0)</f>
        <v>0</v>
      </c>
      <c r="AL40">
        <f>IF( $AV40=FALSE,VLOOKUP(Properties!$B$6, Availability_Requirement,3,FALSE),0)</f>
        <v>0</v>
      </c>
      <c r="AM40" s="14">
        <f t="shared" si="29"/>
        <v>0</v>
      </c>
      <c r="AN40" s="14">
        <f t="shared" si="30"/>
        <v>0</v>
      </c>
      <c r="AO40" s="4">
        <f t="shared" si="31"/>
        <v>0</v>
      </c>
      <c r="AP40" s="15">
        <f t="shared" si="32"/>
        <v>0</v>
      </c>
      <c r="AQ40" s="15">
        <f t="shared" si="33"/>
        <v>0</v>
      </c>
      <c r="AR40" s="15">
        <f t="shared" si="34"/>
        <v>0</v>
      </c>
      <c r="AS40" s="15">
        <f t="shared" si="35"/>
        <v>0</v>
      </c>
      <c r="AT40">
        <f t="shared" si="36"/>
        <v>0</v>
      </c>
      <c r="AU40">
        <f t="shared" si="37"/>
        <v>0</v>
      </c>
      <c r="AV40" t="b">
        <f>IF(OR(F40="Undefined",H40="Undefined",J40="Undefined",L40="Undefined",N40="Undefined",P40="Undefined",R40="Undefined",T40="Undefined",'Pre-Mitigated VA'!$VA40=TRUE),TRUE, FALSE)</f>
        <v>1</v>
      </c>
      <c r="AW40"/>
      <c r="AX40"/>
      <c r="AY40"/>
      <c r="AZ40"/>
    </row>
    <row r="41" spans="1:52" ht="312" customHeight="1" x14ac:dyDescent="0.25">
      <c r="A41" s="38">
        <f>IF(ISBLANK('Pre-Mitigated VA'!A41),"",'Pre-Mitigated VA'!A41)</f>
        <v>115</v>
      </c>
      <c r="B41" s="26" t="str">
        <f>IF(ISBLANK('Pre-Mitigated VA'!B41),"",'Pre-Mitigated VA'!B41)</f>
        <v>Weak Authentication and/or Authorization Schema</v>
      </c>
      <c r="C41" s="26" t="str">
        <f>IF(ISBLANK('Pre-Mitigated VA'!C41),"",'Pre-Mitigated VA'!C41)</f>
        <v>USB out from Zigbee - Elevation of Privileges</v>
      </c>
      <c r="D41" s="26" t="str">
        <f>IF(ISBLANK('Pre-Mitigated VA'!D41),"",'Pre-Mitigated VA'!D41)</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41" s="38" t="str">
        <f>IF(ISBLANK('Pre-Mitigated VA'!E41),"",'Pre-Mitigated VA'!E41)</f>
        <v>Undefined</v>
      </c>
      <c r="F41" s="27" t="s">
        <v>45</v>
      </c>
      <c r="G41" s="27"/>
      <c r="H41" s="27" t="s">
        <v>45</v>
      </c>
      <c r="I41" s="27"/>
      <c r="J41" s="27" t="s">
        <v>45</v>
      </c>
      <c r="K41" s="27"/>
      <c r="L41" s="27" t="s">
        <v>45</v>
      </c>
      <c r="M41" s="27"/>
      <c r="N41" s="27" t="s">
        <v>45</v>
      </c>
      <c r="O41" s="27"/>
      <c r="P41" s="27" t="s">
        <v>45</v>
      </c>
      <c r="Q41" s="27"/>
      <c r="R41" s="31" t="s">
        <v>45</v>
      </c>
      <c r="S41" s="27"/>
      <c r="T41" s="27" t="s">
        <v>15</v>
      </c>
      <c r="U41" s="27"/>
      <c r="V41" s="28" t="str">
        <f>'Pre-Mitigated VA'!V41</f>
        <v>INCOMPLETE</v>
      </c>
      <c r="W41" s="30" t="str">
        <f t="shared" si="19"/>
        <v>INCOMPLETE</v>
      </c>
      <c r="X41" s="34"/>
      <c r="Y41" s="34"/>
      <c r="AA41">
        <f t="shared" si="20"/>
        <v>0</v>
      </c>
      <c r="AB41">
        <f t="shared" si="21"/>
        <v>0</v>
      </c>
      <c r="AC41">
        <f t="shared" si="22"/>
        <v>0</v>
      </c>
      <c r="AD41">
        <f t="shared" si="23"/>
        <v>0</v>
      </c>
      <c r="AE41">
        <f t="shared" si="24"/>
        <v>0</v>
      </c>
      <c r="AF41">
        <f t="shared" si="25"/>
        <v>0</v>
      </c>
      <c r="AG41">
        <f t="shared" si="26"/>
        <v>0</v>
      </c>
      <c r="AH41">
        <f t="shared" si="27"/>
        <v>0</v>
      </c>
      <c r="AI41">
        <f t="shared" si="28"/>
        <v>0</v>
      </c>
      <c r="AJ41">
        <f>IF( $AV41=FALSE,VLOOKUP(Properties!$B$4, Confidentiality_Requirement,3,FALSE),0)</f>
        <v>0</v>
      </c>
      <c r="AK41">
        <f>IF( $AV41=FALSE,VLOOKUP(Properties!$B$5, Integrity_Requirement,3,FALSE),0)</f>
        <v>0</v>
      </c>
      <c r="AL41">
        <f>IF( $AV41=FALSE,VLOOKUP(Properties!$B$6, Availability_Requirement,3,FALSE),0)</f>
        <v>0</v>
      </c>
      <c r="AM41" s="14">
        <f t="shared" si="29"/>
        <v>0</v>
      </c>
      <c r="AN41" s="14">
        <f t="shared" si="30"/>
        <v>0</v>
      </c>
      <c r="AO41" s="4">
        <f t="shared" si="31"/>
        <v>0</v>
      </c>
      <c r="AP41" s="15">
        <f t="shared" si="32"/>
        <v>0</v>
      </c>
      <c r="AQ41" s="15">
        <f t="shared" si="33"/>
        <v>0</v>
      </c>
      <c r="AR41" s="15">
        <f t="shared" si="34"/>
        <v>0</v>
      </c>
      <c r="AS41" s="15">
        <f t="shared" si="35"/>
        <v>0</v>
      </c>
      <c r="AT41">
        <f t="shared" si="36"/>
        <v>0</v>
      </c>
      <c r="AU41">
        <f t="shared" si="37"/>
        <v>0</v>
      </c>
      <c r="AV41" t="b">
        <f>IF(OR(F41="Undefined",H41="Undefined",J41="Undefined",L41="Undefined",N41="Undefined",P41="Undefined",R41="Undefined",T41="Undefined",'Pre-Mitigated VA'!$VA41=TRUE),TRUE, FALSE)</f>
        <v>1</v>
      </c>
      <c r="AW41"/>
      <c r="AX41"/>
      <c r="AY41"/>
      <c r="AZ41"/>
    </row>
    <row r="42" spans="1:52" ht="76.05" customHeight="1" x14ac:dyDescent="0.25">
      <c r="A42" s="38">
        <f>IF(ISBLANK('Pre-Mitigated VA'!A42),"",'Pre-Mitigated VA'!A42)</f>
        <v>116</v>
      </c>
      <c r="B42" s="26" t="str">
        <f>IF(ISBLANK('Pre-Mitigated VA'!B42),"",'Pre-Mitigated VA'!B42)</f>
        <v>Spoofed Communication on USB in to Zigbee or Spoofed Device User Application</v>
      </c>
      <c r="C42" s="26" t="str">
        <f>IF(ISBLANK('Pre-Mitigated VA'!C42),"",'Pre-Mitigated VA'!C42)</f>
        <v>USB in to Zigbee - Spoofing</v>
      </c>
      <c r="D42" s="26" t="str">
        <f>IF(ISBLANK('Pre-Mitigated VA'!D42),"",'Pre-Mitigated VA'!D42)</f>
        <v>The wired or wireless connection, USB in to Zigbee, is replaced with an adversary's spoofed implementation, or User Application, the source of data communicated over USB in to Zigbee, is not properly authenticated and verified.</v>
      </c>
      <c r="E42" s="38" t="str">
        <f>IF(ISBLANK('Pre-Mitigated VA'!E42),"",'Pre-Mitigated VA'!E42)</f>
        <v>Undefined</v>
      </c>
      <c r="F42" s="27" t="s">
        <v>45</v>
      </c>
      <c r="G42" s="27"/>
      <c r="H42" s="27" t="s">
        <v>45</v>
      </c>
      <c r="I42" s="27"/>
      <c r="J42" s="27" t="s">
        <v>45</v>
      </c>
      <c r="K42" s="27"/>
      <c r="L42" s="27" t="s">
        <v>45</v>
      </c>
      <c r="M42" s="27"/>
      <c r="N42" s="27" t="s">
        <v>45</v>
      </c>
      <c r="O42" s="27"/>
      <c r="P42" s="27" t="s">
        <v>45</v>
      </c>
      <c r="Q42" s="27"/>
      <c r="R42" s="31" t="s">
        <v>45</v>
      </c>
      <c r="S42" s="27"/>
      <c r="T42" s="27" t="s">
        <v>15</v>
      </c>
      <c r="U42" s="27"/>
      <c r="V42" s="28" t="str">
        <f>'Pre-Mitigated VA'!V42</f>
        <v>INCOMPLETE</v>
      </c>
      <c r="W42" s="30" t="str">
        <f t="shared" si="19"/>
        <v>INCOMPLETE</v>
      </c>
      <c r="X42" s="34"/>
      <c r="Y42" s="34"/>
      <c r="AA42">
        <f t="shared" si="20"/>
        <v>0</v>
      </c>
      <c r="AB42">
        <f t="shared" si="21"/>
        <v>0</v>
      </c>
      <c r="AC42">
        <f t="shared" si="22"/>
        <v>0</v>
      </c>
      <c r="AD42">
        <f t="shared" si="23"/>
        <v>0</v>
      </c>
      <c r="AE42">
        <f t="shared" si="24"/>
        <v>0</v>
      </c>
      <c r="AF42">
        <f t="shared" si="25"/>
        <v>0</v>
      </c>
      <c r="AG42">
        <f t="shared" si="26"/>
        <v>0</v>
      </c>
      <c r="AH42">
        <f t="shared" si="27"/>
        <v>0</v>
      </c>
      <c r="AI42">
        <f t="shared" si="28"/>
        <v>0</v>
      </c>
      <c r="AJ42">
        <f>IF( $AV42=FALSE,VLOOKUP(Properties!$B$4, Confidentiality_Requirement,3,FALSE),0)</f>
        <v>0</v>
      </c>
      <c r="AK42">
        <f>IF( $AV42=FALSE,VLOOKUP(Properties!$B$5, Integrity_Requirement,3,FALSE),0)</f>
        <v>0</v>
      </c>
      <c r="AL42">
        <f>IF( $AV42=FALSE,VLOOKUP(Properties!$B$6, Availability_Requirement,3,FALSE),0)</f>
        <v>0</v>
      </c>
      <c r="AM42" s="14">
        <f t="shared" si="29"/>
        <v>0</v>
      </c>
      <c r="AN42" s="14">
        <f t="shared" si="30"/>
        <v>0</v>
      </c>
      <c r="AO42" s="4">
        <f t="shared" si="31"/>
        <v>0</v>
      </c>
      <c r="AP42" s="15">
        <f t="shared" si="32"/>
        <v>0</v>
      </c>
      <c r="AQ42" s="15">
        <f t="shared" si="33"/>
        <v>0</v>
      </c>
      <c r="AR42" s="15">
        <f t="shared" si="34"/>
        <v>0</v>
      </c>
      <c r="AS42" s="15">
        <f t="shared" si="35"/>
        <v>0</v>
      </c>
      <c r="AT42">
        <f t="shared" si="36"/>
        <v>0</v>
      </c>
      <c r="AU42">
        <f t="shared" si="37"/>
        <v>0</v>
      </c>
      <c r="AV42" t="b">
        <f>IF(OR(F42="Undefined",H42="Undefined",J42="Undefined",L42="Undefined",N42="Undefined",P42="Undefined",R42="Undefined",T42="Undefined",'Pre-Mitigated VA'!$VA42=TRUE),TRUE, FALSE)</f>
        <v>1</v>
      </c>
      <c r="AW42"/>
      <c r="AX42"/>
      <c r="AY42"/>
      <c r="AZ42"/>
    </row>
    <row r="43" spans="1:52" ht="193.95" customHeight="1" x14ac:dyDescent="0.25">
      <c r="A43" s="38">
        <f>IF(ISBLANK('Pre-Mitigated VA'!A43),"",'Pre-Mitigated VA'!A43)</f>
        <v>117</v>
      </c>
      <c r="B43" s="26" t="str">
        <f>IF(ISBLANK('Pre-Mitigated VA'!B43),"",'Pre-Mitigated VA'!B43)</f>
        <v>Tampering with Communicated Data on USB in to Zigbee</v>
      </c>
      <c r="C43" s="26" t="str">
        <f>IF(ISBLANK('Pre-Mitigated VA'!C43),"",'Pre-Mitigated VA'!C43)</f>
        <v>USB in to Zigbee - Tampering</v>
      </c>
      <c r="D43" s="26" t="str">
        <f>IF(ISBLANK('Pre-Mitigated VA'!D43),"",'Pre-Mitigated VA'!D43)</f>
        <v>An adversary may tamper with communicated data on USB in to Zigbee, and if data are not properly verified for integrity prior to accepting or acting upon the data, then the system may behave in an unintended manner.</v>
      </c>
      <c r="E43" s="38" t="str">
        <f>IF(ISBLANK('Pre-Mitigated VA'!E43),"",'Pre-Mitigated VA'!E43)</f>
        <v>Undefined</v>
      </c>
      <c r="F43" s="27" t="s">
        <v>45</v>
      </c>
      <c r="G43" s="27"/>
      <c r="H43" s="27" t="s">
        <v>45</v>
      </c>
      <c r="I43" s="27"/>
      <c r="J43" s="27" t="s">
        <v>45</v>
      </c>
      <c r="K43" s="27"/>
      <c r="L43" s="27" t="s">
        <v>45</v>
      </c>
      <c r="M43" s="27"/>
      <c r="N43" s="27" t="s">
        <v>45</v>
      </c>
      <c r="O43" s="27"/>
      <c r="P43" s="27" t="s">
        <v>45</v>
      </c>
      <c r="Q43" s="27"/>
      <c r="R43" s="31" t="s">
        <v>45</v>
      </c>
      <c r="S43" s="27"/>
      <c r="T43" s="27" t="s">
        <v>15</v>
      </c>
      <c r="U43" s="27"/>
      <c r="V43" s="28" t="str">
        <f>'Pre-Mitigated VA'!V43</f>
        <v>INCOMPLETE</v>
      </c>
      <c r="W43" s="30" t="str">
        <f t="shared" si="19"/>
        <v>INCOMPLETE</v>
      </c>
      <c r="X43" s="34"/>
      <c r="Y43" s="34"/>
      <c r="AA43">
        <f t="shared" si="20"/>
        <v>0</v>
      </c>
      <c r="AB43">
        <f t="shared" si="21"/>
        <v>0</v>
      </c>
      <c r="AC43">
        <f t="shared" si="22"/>
        <v>0</v>
      </c>
      <c r="AD43">
        <f t="shared" si="23"/>
        <v>0</v>
      </c>
      <c r="AE43">
        <f t="shared" si="24"/>
        <v>0</v>
      </c>
      <c r="AF43">
        <f t="shared" si="25"/>
        <v>0</v>
      </c>
      <c r="AG43">
        <f t="shared" si="26"/>
        <v>0</v>
      </c>
      <c r="AH43">
        <f t="shared" si="27"/>
        <v>0</v>
      </c>
      <c r="AI43">
        <f t="shared" si="28"/>
        <v>0</v>
      </c>
      <c r="AJ43">
        <f>IF( $AV43=FALSE,VLOOKUP(Properties!$B$4, Confidentiality_Requirement,3,FALSE),0)</f>
        <v>0</v>
      </c>
      <c r="AK43">
        <f>IF( $AV43=FALSE,VLOOKUP(Properties!$B$5, Integrity_Requirement,3,FALSE),0)</f>
        <v>0</v>
      </c>
      <c r="AL43">
        <f>IF( $AV43=FALSE,VLOOKUP(Properties!$B$6, Availability_Requirement,3,FALSE),0)</f>
        <v>0</v>
      </c>
      <c r="AM43" s="14">
        <f t="shared" si="29"/>
        <v>0</v>
      </c>
      <c r="AN43" s="14">
        <f t="shared" si="30"/>
        <v>0</v>
      </c>
      <c r="AO43" s="4">
        <f t="shared" si="31"/>
        <v>0</v>
      </c>
      <c r="AP43" s="15">
        <f t="shared" si="32"/>
        <v>0</v>
      </c>
      <c r="AQ43" s="15">
        <f t="shared" si="33"/>
        <v>0</v>
      </c>
      <c r="AR43" s="15">
        <f t="shared" si="34"/>
        <v>0</v>
      </c>
      <c r="AS43" s="15">
        <f t="shared" si="35"/>
        <v>0</v>
      </c>
      <c r="AT43">
        <f t="shared" si="36"/>
        <v>0</v>
      </c>
      <c r="AU43">
        <f t="shared" si="37"/>
        <v>0</v>
      </c>
      <c r="AV43" t="b">
        <f>IF(OR(F43="Undefined",H43="Undefined",J43="Undefined",L43="Undefined",N43="Undefined",P43="Undefined",R43="Undefined",T43="Undefined",'Pre-Mitigated VA'!$VA43=TRUE),TRUE, FALSE)</f>
        <v>1</v>
      </c>
      <c r="AW43"/>
      <c r="AX43"/>
      <c r="AY43"/>
      <c r="AZ43"/>
    </row>
    <row r="44" spans="1:52" ht="61.95" customHeight="1" x14ac:dyDescent="0.25">
      <c r="A44" s="38">
        <f>IF(ISBLANK('Pre-Mitigated VA'!A44),"",'Pre-Mitigated VA'!A44)</f>
        <v>118</v>
      </c>
      <c r="B44" s="26" t="str">
        <f>IF(ISBLANK('Pre-Mitigated VA'!B44),"",'Pre-Mitigated VA'!B44)</f>
        <v>Sniffing Communications from User Application on USB in to Zigbee</v>
      </c>
      <c r="C44" s="26" t="str">
        <f>IF(ISBLANK('Pre-Mitigated VA'!C44),"",'Pre-Mitigated VA'!C44)</f>
        <v>USB in to Zigbee - Information Disclosure</v>
      </c>
      <c r="D44" s="26" t="str">
        <f>IF(ISBLANK('Pre-Mitigated VA'!D44),"",'Pre-Mitigated VA'!D44)</f>
        <v>An adversary can gain access to sensitive data in an unauthorized manner by sniffing communications on USB in to Zigbee due to a lack of data confidentiality protections.</v>
      </c>
      <c r="E44" s="38" t="str">
        <f>IF(ISBLANK('Pre-Mitigated VA'!E44),"",'Pre-Mitigated VA'!E44)</f>
        <v>No</v>
      </c>
      <c r="F44" s="27" t="s">
        <v>12</v>
      </c>
      <c r="G44" s="27"/>
      <c r="H44" s="27" t="s">
        <v>2</v>
      </c>
      <c r="I44" s="27"/>
      <c r="J44" s="27" t="s">
        <v>55</v>
      </c>
      <c r="K44" s="27"/>
      <c r="L44" s="27" t="s">
        <v>15</v>
      </c>
      <c r="M44" s="27"/>
      <c r="N44" s="27" t="s">
        <v>15</v>
      </c>
      <c r="O44" s="27"/>
      <c r="P44" s="27" t="s">
        <v>15</v>
      </c>
      <c r="Q44" s="27"/>
      <c r="R44" s="31" t="s">
        <v>15</v>
      </c>
      <c r="S44" s="27"/>
      <c r="T44" s="27" t="s">
        <v>15</v>
      </c>
      <c r="U44" s="27"/>
      <c r="V44" s="28">
        <f>'Pre-Mitigated VA'!V44</f>
        <v>7.3</v>
      </c>
      <c r="W44" s="30">
        <f t="shared" si="19"/>
        <v>0</v>
      </c>
      <c r="X44" s="34" t="s">
        <v>476</v>
      </c>
      <c r="Y44" s="34" t="s">
        <v>475</v>
      </c>
      <c r="AA44">
        <f t="shared" si="20"/>
        <v>0.39500000000000002</v>
      </c>
      <c r="AB44">
        <f t="shared" si="21"/>
        <v>0.35</v>
      </c>
      <c r="AC44">
        <f t="shared" si="22"/>
        <v>0.45</v>
      </c>
      <c r="AD44">
        <f t="shared" si="23"/>
        <v>0</v>
      </c>
      <c r="AE44">
        <f t="shared" si="24"/>
        <v>0</v>
      </c>
      <c r="AF44">
        <f t="shared" si="25"/>
        <v>0</v>
      </c>
      <c r="AG44">
        <f t="shared" si="26"/>
        <v>0</v>
      </c>
      <c r="AH44">
        <f t="shared" si="27"/>
        <v>0</v>
      </c>
      <c r="AI44">
        <f t="shared" si="28"/>
        <v>0</v>
      </c>
      <c r="AJ44">
        <f>IF( $AV44=FALSE,VLOOKUP(Properties!$B$4, Confidentiality_Requirement,3,FALSE),0)</f>
        <v>1.51</v>
      </c>
      <c r="AK44">
        <f>IF( $AV44=FALSE,VLOOKUP(Properties!$B$5, Integrity_Requirement,3,FALSE),0)</f>
        <v>1.51</v>
      </c>
      <c r="AL44">
        <f>IF( $AV44=FALSE,VLOOKUP(Properties!$B$6, Availability_Requirement,3,FALSE),0)</f>
        <v>1.51</v>
      </c>
      <c r="AM44" s="14">
        <f t="shared" si="29"/>
        <v>0</v>
      </c>
      <c r="AN44" s="14">
        <f t="shared" si="30"/>
        <v>1.2442500000000001</v>
      </c>
      <c r="AO44" s="4">
        <f t="shared" si="31"/>
        <v>0</v>
      </c>
      <c r="AP44" s="15">
        <f t="shared" si="32"/>
        <v>0</v>
      </c>
      <c r="AQ44" s="15">
        <f t="shared" si="33"/>
        <v>0</v>
      </c>
      <c r="AR44" s="15">
        <f t="shared" si="34"/>
        <v>0</v>
      </c>
      <c r="AS44" s="15">
        <f t="shared" si="35"/>
        <v>0</v>
      </c>
      <c r="AT44">
        <f t="shared" si="36"/>
        <v>0</v>
      </c>
      <c r="AU44">
        <f t="shared" si="37"/>
        <v>0</v>
      </c>
      <c r="AV44" t="b">
        <f>IF(OR(F44="Undefined",H44="Undefined",J44="Undefined",L44="Undefined",N44="Undefined",P44="Undefined",R44="Undefined",T44="Undefined",'Pre-Mitigated VA'!$VA44=TRUE),TRUE, FALSE)</f>
        <v>0</v>
      </c>
      <c r="AW44"/>
      <c r="AX44"/>
      <c r="AY44"/>
      <c r="AZ44"/>
    </row>
    <row r="45" spans="1:52" ht="298.95" customHeight="1" x14ac:dyDescent="0.25">
      <c r="A45" s="38">
        <f>IF(ISBLANK('Pre-Mitigated VA'!A45),"",'Pre-Mitigated VA'!A45)</f>
        <v>119</v>
      </c>
      <c r="B45" s="26" t="str">
        <f>IF(ISBLANK('Pre-Mitigated VA'!B45),"",'Pre-Mitigated VA'!B45)</f>
        <v xml:space="preserve">Excessive or Uncontrolled Resource Consumption by User Device Zigbee Module </v>
      </c>
      <c r="C45" s="26" t="str">
        <f>IF(ISBLANK('Pre-Mitigated VA'!C45),"",'Pre-Mitigated VA'!C45)</f>
        <v>USB in to Zigbee - Denial of Service</v>
      </c>
      <c r="D45" s="26" t="str">
        <f>IF(ISBLANK('Pre-Mitigated VA'!D45),"",'Pre-Mitigated VA'!D45)</f>
        <v>Resource consumption attacks can be hard to deal with, and there are times that it makes sense to let the operating system/CPU do the job. Be careful that your resource requests do not deadlock or timeout. Does User Device Zigbee Module  take explicit steps to control resource consumption?</v>
      </c>
      <c r="E45" s="38" t="str">
        <f>IF(ISBLANK('Pre-Mitigated VA'!E45),"",'Pre-Mitigated VA'!E45)</f>
        <v>Undefined</v>
      </c>
      <c r="F45" s="27" t="s">
        <v>45</v>
      </c>
      <c r="G45" s="27"/>
      <c r="H45" s="27" t="s">
        <v>45</v>
      </c>
      <c r="I45" s="27"/>
      <c r="J45" s="27" t="s">
        <v>45</v>
      </c>
      <c r="K45" s="27"/>
      <c r="L45" s="27" t="s">
        <v>45</v>
      </c>
      <c r="M45" s="27"/>
      <c r="N45" s="27" t="s">
        <v>45</v>
      </c>
      <c r="O45" s="27"/>
      <c r="P45" s="27" t="s">
        <v>45</v>
      </c>
      <c r="Q45" s="27"/>
      <c r="R45" s="31" t="s">
        <v>45</v>
      </c>
      <c r="S45" s="27"/>
      <c r="T45" s="27" t="s">
        <v>15</v>
      </c>
      <c r="U45" s="27"/>
      <c r="V45" s="28" t="str">
        <f>'Pre-Mitigated VA'!V45</f>
        <v>INCOMPLETE</v>
      </c>
      <c r="W45" s="30" t="str">
        <f t="shared" si="19"/>
        <v>INCOMPLETE</v>
      </c>
      <c r="X45" s="34"/>
      <c r="Y45" s="34"/>
      <c r="AA45">
        <f t="shared" si="20"/>
        <v>0</v>
      </c>
      <c r="AB45">
        <f t="shared" si="21"/>
        <v>0</v>
      </c>
      <c r="AC45">
        <f t="shared" si="22"/>
        <v>0</v>
      </c>
      <c r="AD45">
        <f t="shared" si="23"/>
        <v>0</v>
      </c>
      <c r="AE45">
        <f t="shared" si="24"/>
        <v>0</v>
      </c>
      <c r="AF45">
        <f t="shared" si="25"/>
        <v>0</v>
      </c>
      <c r="AG45">
        <f t="shared" si="26"/>
        <v>0</v>
      </c>
      <c r="AH45">
        <f t="shared" si="27"/>
        <v>0</v>
      </c>
      <c r="AI45">
        <f t="shared" si="28"/>
        <v>0</v>
      </c>
      <c r="AJ45">
        <f>IF( $AV45=FALSE,VLOOKUP(Properties!$B$4, Confidentiality_Requirement,3,FALSE),0)</f>
        <v>0</v>
      </c>
      <c r="AK45">
        <f>IF( $AV45=FALSE,VLOOKUP(Properties!$B$5, Integrity_Requirement,3,FALSE),0)</f>
        <v>0</v>
      </c>
      <c r="AL45">
        <f>IF( $AV45=FALSE,VLOOKUP(Properties!$B$6, Availability_Requirement,3,FALSE),0)</f>
        <v>0</v>
      </c>
      <c r="AM45" s="14">
        <f t="shared" si="29"/>
        <v>0</v>
      </c>
      <c r="AN45" s="14">
        <f t="shared" si="30"/>
        <v>0</v>
      </c>
      <c r="AO45" s="4">
        <f t="shared" si="31"/>
        <v>0</v>
      </c>
      <c r="AP45" s="15">
        <f t="shared" si="32"/>
        <v>0</v>
      </c>
      <c r="AQ45" s="15">
        <f t="shared" si="33"/>
        <v>0</v>
      </c>
      <c r="AR45" s="15">
        <f t="shared" si="34"/>
        <v>0</v>
      </c>
      <c r="AS45" s="15">
        <f t="shared" si="35"/>
        <v>0</v>
      </c>
      <c r="AT45">
        <f t="shared" si="36"/>
        <v>0</v>
      </c>
      <c r="AU45">
        <f t="shared" si="37"/>
        <v>0</v>
      </c>
      <c r="AV45" t="b">
        <f>IF(OR(F45="Undefined",H45="Undefined",J45="Undefined",L45="Undefined",N45="Undefined",P45="Undefined",R45="Undefined",T45="Undefined",'Pre-Mitigated VA'!$VA45=TRUE),TRUE, FALSE)</f>
        <v>1</v>
      </c>
      <c r="AW45"/>
      <c r="AX45"/>
      <c r="AY45"/>
      <c r="AZ45"/>
    </row>
    <row r="46" spans="1:52" ht="48" customHeight="1" x14ac:dyDescent="0.25">
      <c r="A46" s="38">
        <f>IF(ISBLANK('Pre-Mitigated VA'!A46),"",'Pre-Mitigated VA'!A46)</f>
        <v>120</v>
      </c>
      <c r="B46" s="26" t="str">
        <f>IF(ISBLANK('Pre-Mitigated VA'!B46),"",'Pre-Mitigated VA'!B46)</f>
        <v>Interuption or Corruption of Data on USB in to Zigbee</v>
      </c>
      <c r="C46" s="26" t="str">
        <f>IF(ISBLANK('Pre-Mitigated VA'!C46),"",'Pre-Mitigated VA'!C46)</f>
        <v>USB in to Zigbee - Denial of Service</v>
      </c>
      <c r="D46" s="26" t="str">
        <f>IF(ISBLANK('Pre-Mitigated VA'!D46),"",'Pre-Mitigated VA'!D46)</f>
        <v>An external agent interrupts or corrupts data flowing on USB in to Zigbee, denying the availability of the communicated data.</v>
      </c>
      <c r="E46" s="38" t="str">
        <f>IF(ISBLANK('Pre-Mitigated VA'!E46),"",'Pre-Mitigated VA'!E46)</f>
        <v>Undefined</v>
      </c>
      <c r="F46" s="27" t="s">
        <v>45</v>
      </c>
      <c r="G46" s="27"/>
      <c r="H46" s="27" t="s">
        <v>45</v>
      </c>
      <c r="I46" s="27"/>
      <c r="J46" s="27" t="s">
        <v>45</v>
      </c>
      <c r="K46" s="27"/>
      <c r="L46" s="27" t="s">
        <v>45</v>
      </c>
      <c r="M46" s="27"/>
      <c r="N46" s="27" t="s">
        <v>45</v>
      </c>
      <c r="O46" s="27"/>
      <c r="P46" s="27" t="s">
        <v>45</v>
      </c>
      <c r="Q46" s="27"/>
      <c r="R46" s="31" t="s">
        <v>45</v>
      </c>
      <c r="S46" s="27"/>
      <c r="T46" s="27" t="s">
        <v>15</v>
      </c>
      <c r="U46" s="27"/>
      <c r="V46" s="28" t="str">
        <f>'Pre-Mitigated VA'!V46</f>
        <v>INCOMPLETE</v>
      </c>
      <c r="W46" s="30" t="str">
        <f t="shared" si="19"/>
        <v>INCOMPLETE</v>
      </c>
      <c r="X46" s="34"/>
      <c r="Y46" s="34"/>
      <c r="AA46">
        <f t="shared" si="20"/>
        <v>0</v>
      </c>
      <c r="AB46">
        <f t="shared" si="21"/>
        <v>0</v>
      </c>
      <c r="AC46">
        <f t="shared" si="22"/>
        <v>0</v>
      </c>
      <c r="AD46">
        <f t="shared" si="23"/>
        <v>0</v>
      </c>
      <c r="AE46">
        <f t="shared" si="24"/>
        <v>0</v>
      </c>
      <c r="AF46">
        <f t="shared" si="25"/>
        <v>0</v>
      </c>
      <c r="AG46">
        <f t="shared" si="26"/>
        <v>0</v>
      </c>
      <c r="AH46">
        <f t="shared" si="27"/>
        <v>0</v>
      </c>
      <c r="AI46">
        <f t="shared" si="28"/>
        <v>0</v>
      </c>
      <c r="AJ46">
        <f>IF( $AV46=FALSE,VLOOKUP(Properties!$B$4, Confidentiality_Requirement,3,FALSE),0)</f>
        <v>0</v>
      </c>
      <c r="AK46">
        <f>IF( $AV46=FALSE,VLOOKUP(Properties!$B$5, Integrity_Requirement,3,FALSE),0)</f>
        <v>0</v>
      </c>
      <c r="AL46">
        <f>IF( $AV46=FALSE,VLOOKUP(Properties!$B$6, Availability_Requirement,3,FALSE),0)</f>
        <v>0</v>
      </c>
      <c r="AM46" s="14">
        <f t="shared" si="29"/>
        <v>0</v>
      </c>
      <c r="AN46" s="14">
        <f t="shared" si="30"/>
        <v>0</v>
      </c>
      <c r="AO46" s="4">
        <f t="shared" si="31"/>
        <v>0</v>
      </c>
      <c r="AP46" s="15">
        <f t="shared" si="32"/>
        <v>0</v>
      </c>
      <c r="AQ46" s="15">
        <f t="shared" si="33"/>
        <v>0</v>
      </c>
      <c r="AR46" s="15">
        <f t="shared" si="34"/>
        <v>0</v>
      </c>
      <c r="AS46" s="15">
        <f t="shared" si="35"/>
        <v>0</v>
      </c>
      <c r="AT46">
        <f t="shared" si="36"/>
        <v>0</v>
      </c>
      <c r="AU46">
        <f t="shared" si="37"/>
        <v>0</v>
      </c>
      <c r="AV46" t="b">
        <f>IF(OR(F46="Undefined",H46="Undefined",J46="Undefined",L46="Undefined",N46="Undefined",P46="Undefined",R46="Undefined",T46="Undefined",'Pre-Mitigated VA'!$VA46=TRUE),TRUE, FALSE)</f>
        <v>1</v>
      </c>
      <c r="AW46"/>
      <c r="AX46"/>
      <c r="AY46"/>
      <c r="AZ46"/>
    </row>
    <row r="47" spans="1:52" ht="115.05" customHeight="1" x14ac:dyDescent="0.25">
      <c r="A47" s="38">
        <f>IF(ISBLANK('Pre-Mitigated VA'!A47),"",'Pre-Mitigated VA'!A47)</f>
        <v>121</v>
      </c>
      <c r="B47" s="26" t="str">
        <f>IF(ISBLANK('Pre-Mitigated VA'!B47),"",'Pre-Mitigated VA'!B47)</f>
        <v>Unnecessary and Unused Privileged Features or Services</v>
      </c>
      <c r="C47" s="26" t="str">
        <f>IF(ISBLANK('Pre-Mitigated VA'!C47),"",'Pre-Mitigated VA'!C47)</f>
        <v>USB in to Zigbee - Elevation of Privileges</v>
      </c>
      <c r="D47" s="26" t="str">
        <f>IF(ISBLANK('Pre-Mitigated VA'!D47),"",'Pre-Mitigated VA'!D47)</f>
        <v>An adversary may utilize unused features or privileged services on User Device Zigbee Module , such as the user interface, USB and other ports, manufacturing features, platform features like camera, microphone or location services, etc. Unused features increase the attack surface and serve as additional entry points for the adversary.</v>
      </c>
      <c r="E47" s="38" t="str">
        <f>IF(ISBLANK('Pre-Mitigated VA'!E47),"",'Pre-Mitigated VA'!E47)</f>
        <v>Undefined</v>
      </c>
      <c r="F47" s="27" t="s">
        <v>45</v>
      </c>
      <c r="G47" s="27"/>
      <c r="H47" s="27" t="s">
        <v>45</v>
      </c>
      <c r="I47" s="27"/>
      <c r="J47" s="27" t="s">
        <v>45</v>
      </c>
      <c r="K47" s="27"/>
      <c r="L47" s="27" t="s">
        <v>45</v>
      </c>
      <c r="M47" s="27"/>
      <c r="N47" s="27" t="s">
        <v>45</v>
      </c>
      <c r="O47" s="27"/>
      <c r="P47" s="27" t="s">
        <v>45</v>
      </c>
      <c r="Q47" s="27"/>
      <c r="R47" s="31" t="s">
        <v>45</v>
      </c>
      <c r="S47" s="27"/>
      <c r="T47" s="27" t="s">
        <v>15</v>
      </c>
      <c r="U47" s="27"/>
      <c r="V47" s="28" t="str">
        <f>'Pre-Mitigated VA'!V47</f>
        <v>INCOMPLETE</v>
      </c>
      <c r="W47" s="30" t="str">
        <f t="shared" si="19"/>
        <v>INCOMPLETE</v>
      </c>
      <c r="X47" s="34"/>
      <c r="Y47" s="34"/>
      <c r="AA47">
        <f t="shared" si="20"/>
        <v>0</v>
      </c>
      <c r="AB47">
        <f t="shared" si="21"/>
        <v>0</v>
      </c>
      <c r="AC47">
        <f t="shared" si="22"/>
        <v>0</v>
      </c>
      <c r="AD47">
        <f t="shared" si="23"/>
        <v>0</v>
      </c>
      <c r="AE47">
        <f t="shared" si="24"/>
        <v>0</v>
      </c>
      <c r="AF47">
        <f t="shared" si="25"/>
        <v>0</v>
      </c>
      <c r="AG47">
        <f t="shared" si="26"/>
        <v>0</v>
      </c>
      <c r="AH47">
        <f t="shared" si="27"/>
        <v>0</v>
      </c>
      <c r="AI47">
        <f t="shared" si="28"/>
        <v>0</v>
      </c>
      <c r="AJ47">
        <f>IF( $AV47=FALSE,VLOOKUP(Properties!$B$4, Confidentiality_Requirement,3,FALSE),0)</f>
        <v>0</v>
      </c>
      <c r="AK47">
        <f>IF( $AV47=FALSE,VLOOKUP(Properties!$B$5, Integrity_Requirement,3,FALSE),0)</f>
        <v>0</v>
      </c>
      <c r="AL47">
        <f>IF( $AV47=FALSE,VLOOKUP(Properties!$B$6, Availability_Requirement,3,FALSE),0)</f>
        <v>0</v>
      </c>
      <c r="AM47" s="14">
        <f t="shared" si="29"/>
        <v>0</v>
      </c>
      <c r="AN47" s="14">
        <f t="shared" si="30"/>
        <v>0</v>
      </c>
      <c r="AO47" s="4">
        <f t="shared" si="31"/>
        <v>0</v>
      </c>
      <c r="AP47" s="15">
        <f t="shared" si="32"/>
        <v>0</v>
      </c>
      <c r="AQ47" s="15">
        <f t="shared" si="33"/>
        <v>0</v>
      </c>
      <c r="AR47" s="15">
        <f t="shared" si="34"/>
        <v>0</v>
      </c>
      <c r="AS47" s="15">
        <f t="shared" si="35"/>
        <v>0</v>
      </c>
      <c r="AT47">
        <f t="shared" si="36"/>
        <v>0</v>
      </c>
      <c r="AU47">
        <f t="shared" si="37"/>
        <v>0</v>
      </c>
      <c r="AV47" t="b">
        <f>IF(OR(F47="Undefined",H47="Undefined",J47="Undefined",L47="Undefined",N47="Undefined",P47="Undefined",R47="Undefined",T47="Undefined",'Pre-Mitigated VA'!$VA47=TRUE),TRUE, FALSE)</f>
        <v>1</v>
      </c>
      <c r="AW47"/>
      <c r="AX47"/>
      <c r="AY47"/>
      <c r="AZ47"/>
    </row>
    <row r="48" spans="1:52" ht="312" customHeight="1" x14ac:dyDescent="0.25">
      <c r="A48" s="38">
        <f>IF(ISBLANK('Pre-Mitigated VA'!A48),"",'Pre-Mitigated VA'!A48)</f>
        <v>122</v>
      </c>
      <c r="B48" s="26" t="str">
        <f>IF(ISBLANK('Pre-Mitigated VA'!B48),"",'Pre-Mitigated VA'!B48)</f>
        <v>Weak Authentication and/or Authorization Schema</v>
      </c>
      <c r="C48" s="26" t="str">
        <f>IF(ISBLANK('Pre-Mitigated VA'!C48),"",'Pre-Mitigated VA'!C48)</f>
        <v>USB in to Zigbee - Elevation of Privileges</v>
      </c>
      <c r="D48" s="26" t="str">
        <f>IF(ISBLANK('Pre-Mitigated VA'!D48),"",'Pre-Mitigated VA'!D48)</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48" s="38" t="str">
        <f>IF(ISBLANK('Pre-Mitigated VA'!E48),"",'Pre-Mitigated VA'!E48)</f>
        <v>Undefined</v>
      </c>
      <c r="F48" s="27" t="s">
        <v>45</v>
      </c>
      <c r="G48" s="27"/>
      <c r="H48" s="27" t="s">
        <v>45</v>
      </c>
      <c r="I48" s="27"/>
      <c r="J48" s="27" t="s">
        <v>45</v>
      </c>
      <c r="K48" s="27"/>
      <c r="L48" s="27" t="s">
        <v>45</v>
      </c>
      <c r="M48" s="27"/>
      <c r="N48" s="27" t="s">
        <v>45</v>
      </c>
      <c r="O48" s="27"/>
      <c r="P48" s="27" t="s">
        <v>45</v>
      </c>
      <c r="Q48" s="27"/>
      <c r="R48" s="31" t="s">
        <v>45</v>
      </c>
      <c r="S48" s="27"/>
      <c r="T48" s="27" t="s">
        <v>15</v>
      </c>
      <c r="U48" s="27"/>
      <c r="V48" s="28" t="str">
        <f>'Pre-Mitigated VA'!V48</f>
        <v>INCOMPLETE</v>
      </c>
      <c r="W48" s="30" t="str">
        <f t="shared" si="19"/>
        <v>INCOMPLETE</v>
      </c>
      <c r="X48" s="34"/>
      <c r="Y48" s="34"/>
      <c r="AA48">
        <f t="shared" si="20"/>
        <v>0</v>
      </c>
      <c r="AB48">
        <f t="shared" si="21"/>
        <v>0</v>
      </c>
      <c r="AC48">
        <f t="shared" si="22"/>
        <v>0</v>
      </c>
      <c r="AD48">
        <f t="shared" si="23"/>
        <v>0</v>
      </c>
      <c r="AE48">
        <f t="shared" si="24"/>
        <v>0</v>
      </c>
      <c r="AF48">
        <f t="shared" si="25"/>
        <v>0</v>
      </c>
      <c r="AG48">
        <f t="shared" si="26"/>
        <v>0</v>
      </c>
      <c r="AH48">
        <f t="shared" si="27"/>
        <v>0</v>
      </c>
      <c r="AI48">
        <f t="shared" si="28"/>
        <v>0</v>
      </c>
      <c r="AJ48">
        <f>IF( $AV48=FALSE,VLOOKUP(Properties!$B$4, Confidentiality_Requirement,3,FALSE),0)</f>
        <v>0</v>
      </c>
      <c r="AK48">
        <f>IF( $AV48=FALSE,VLOOKUP(Properties!$B$5, Integrity_Requirement,3,FALSE),0)</f>
        <v>0</v>
      </c>
      <c r="AL48">
        <f>IF( $AV48=FALSE,VLOOKUP(Properties!$B$6, Availability_Requirement,3,FALSE),0)</f>
        <v>0</v>
      </c>
      <c r="AM48" s="14">
        <f t="shared" si="29"/>
        <v>0</v>
      </c>
      <c r="AN48" s="14">
        <f t="shared" si="30"/>
        <v>0</v>
      </c>
      <c r="AO48" s="4">
        <f t="shared" si="31"/>
        <v>0</v>
      </c>
      <c r="AP48" s="15">
        <f t="shared" si="32"/>
        <v>0</v>
      </c>
      <c r="AQ48" s="15">
        <f t="shared" si="33"/>
        <v>0</v>
      </c>
      <c r="AR48" s="15">
        <f t="shared" si="34"/>
        <v>0</v>
      </c>
      <c r="AS48" s="15">
        <f t="shared" si="35"/>
        <v>0</v>
      </c>
      <c r="AT48">
        <f t="shared" si="36"/>
        <v>0</v>
      </c>
      <c r="AU48">
        <f t="shared" si="37"/>
        <v>0</v>
      </c>
      <c r="AV48" t="b">
        <f>IF(OR(F48="Undefined",H48="Undefined",J48="Undefined",L48="Undefined",N48="Undefined",P48="Undefined",R48="Undefined",T48="Undefined",'Pre-Mitigated VA'!$VA48=TRUE),TRUE, FALSE)</f>
        <v>1</v>
      </c>
      <c r="AW48"/>
      <c r="AX48"/>
      <c r="AY48"/>
      <c r="AZ48"/>
    </row>
    <row r="49" spans="1:52" ht="102" customHeight="1" x14ac:dyDescent="0.25">
      <c r="A49" s="38">
        <f>IF(ISBLANK('Pre-Mitigated VA'!A49),"",'Pre-Mitigated VA'!A49)</f>
        <v>184</v>
      </c>
      <c r="B49" s="26" t="str">
        <f>IF(ISBLANK('Pre-Mitigated VA'!B49),"",'Pre-Mitigated VA'!B49)</f>
        <v>Spoofed Human Actor, User</v>
      </c>
      <c r="C49" s="26" t="str">
        <f>IF(ISBLANK('Pre-Mitigated VA'!C49),"",'Pre-Mitigated VA'!C49)</f>
        <v>User Input in to Lock - Spoofing</v>
      </c>
      <c r="D49" s="26" t="str">
        <f>IF(ISBLANK('Pre-Mitigated VA'!D49),"",'Pre-Mitigated VA'!D49)</f>
        <v>An adversary replaces the intended user, User, as the person controlling and interacting with the device, and the adversary can therefore perform the same operations as the intended user.</v>
      </c>
      <c r="E49" s="38" t="str">
        <f>IF(ISBLANK('Pre-Mitigated VA'!E49),"",'Pre-Mitigated VA'!E49)</f>
        <v>No</v>
      </c>
      <c r="F49" s="27" t="s">
        <v>12</v>
      </c>
      <c r="G49" s="27"/>
      <c r="H49" s="27" t="s">
        <v>11</v>
      </c>
      <c r="I49" s="27"/>
      <c r="J49" s="27" t="s">
        <v>55</v>
      </c>
      <c r="K49" s="27"/>
      <c r="L49" s="27" t="s">
        <v>15</v>
      </c>
      <c r="M49" s="27"/>
      <c r="N49" s="27" t="s">
        <v>15</v>
      </c>
      <c r="O49" s="27"/>
      <c r="P49" s="27" t="s">
        <v>15</v>
      </c>
      <c r="Q49" s="27"/>
      <c r="R49" s="31" t="s">
        <v>3</v>
      </c>
      <c r="S49" s="27"/>
      <c r="T49" s="27" t="s">
        <v>15</v>
      </c>
      <c r="U49" s="27"/>
      <c r="V49" s="28">
        <f>'Pre-Mitigated VA'!V49</f>
        <v>4</v>
      </c>
      <c r="W49" s="30">
        <f t="shared" si="19"/>
        <v>1</v>
      </c>
      <c r="X49" s="34" t="s">
        <v>479</v>
      </c>
      <c r="Y49" s="34" t="s">
        <v>478</v>
      </c>
      <c r="AA49">
        <f t="shared" si="20"/>
        <v>0.39500000000000002</v>
      </c>
      <c r="AB49">
        <f t="shared" si="21"/>
        <v>0.61</v>
      </c>
      <c r="AC49">
        <f t="shared" si="22"/>
        <v>0.45</v>
      </c>
      <c r="AD49">
        <f t="shared" si="23"/>
        <v>0</v>
      </c>
      <c r="AE49">
        <f t="shared" si="24"/>
        <v>0</v>
      </c>
      <c r="AF49">
        <f t="shared" si="25"/>
        <v>0</v>
      </c>
      <c r="AG49">
        <f t="shared" si="26"/>
        <v>0</v>
      </c>
      <c r="AH49">
        <f t="shared" si="27"/>
        <v>0.1</v>
      </c>
      <c r="AI49">
        <f t="shared" si="28"/>
        <v>0</v>
      </c>
      <c r="AJ49">
        <f>IF( $AV49=FALSE,VLOOKUP(Properties!$B$4, Confidentiality_Requirement,3,FALSE),0)</f>
        <v>1.51</v>
      </c>
      <c r="AK49">
        <f>IF( $AV49=FALSE,VLOOKUP(Properties!$B$5, Integrity_Requirement,3,FALSE),0)</f>
        <v>1.51</v>
      </c>
      <c r="AL49">
        <f>IF( $AV49=FALSE,VLOOKUP(Properties!$B$6, Availability_Requirement,3,FALSE),0)</f>
        <v>1.51</v>
      </c>
      <c r="AM49" s="14">
        <f t="shared" si="29"/>
        <v>0</v>
      </c>
      <c r="AN49" s="14">
        <f t="shared" si="30"/>
        <v>2.1685500000000002</v>
      </c>
      <c r="AO49" s="4">
        <f t="shared" si="31"/>
        <v>0</v>
      </c>
      <c r="AP49" s="15">
        <f t="shared" si="32"/>
        <v>0</v>
      </c>
      <c r="AQ49" s="15">
        <f t="shared" si="33"/>
        <v>0</v>
      </c>
      <c r="AR49" s="15">
        <f t="shared" si="34"/>
        <v>0</v>
      </c>
      <c r="AS49" s="15">
        <f t="shared" si="35"/>
        <v>1</v>
      </c>
      <c r="AT49">
        <f t="shared" si="36"/>
        <v>1</v>
      </c>
      <c r="AU49">
        <f t="shared" si="37"/>
        <v>1</v>
      </c>
      <c r="AV49" t="b">
        <f>IF(OR(F49="Undefined",H49="Undefined",J49="Undefined",L49="Undefined",N49="Undefined",P49="Undefined",R49="Undefined",T49="Undefined",'Pre-Mitigated VA'!$VA49=TRUE),TRUE, FALSE)</f>
        <v>0</v>
      </c>
      <c r="AW49"/>
      <c r="AX49"/>
      <c r="AY49"/>
      <c r="AZ49"/>
    </row>
    <row r="50" spans="1:52" ht="259.05" customHeight="1" x14ac:dyDescent="0.25">
      <c r="A50" s="38">
        <f>IF(ISBLANK('Pre-Mitigated VA'!A50),"",'Pre-Mitigated VA'!A50)</f>
        <v>185</v>
      </c>
      <c r="B50" s="26" t="str">
        <f>IF(ISBLANK('Pre-Mitigated VA'!B50),"",'Pre-Mitigated VA'!B50)</f>
        <v>Actor Denies Unauthorized System Access or Modification on Lock</v>
      </c>
      <c r="C50" s="26" t="str">
        <f>IF(ISBLANK('Pre-Mitigated VA'!C50),"",'Pre-Mitigated VA'!C50)</f>
        <v>User Input in to Lock - Repudiation</v>
      </c>
      <c r="D50" s="26" t="str">
        <f>IF(ISBLANK('Pre-Mitigated VA'!D50),"",'Pre-Mitigated VA'!D50)</f>
        <v>A safety or security event may occur, such as an adversary accessing or altering data saved in memory, stored respositories or devices, such as Lock, in an unauthorized manner; and the system may fail to capture a means of detecting or verifying the actions that were attempted or performed. An authorized or unauthorized user could deny actions they make.</v>
      </c>
      <c r="E50" s="38" t="str">
        <f>IF(ISBLANK('Pre-Mitigated VA'!E50),"",'Pre-Mitigated VA'!E50)</f>
        <v>Yes</v>
      </c>
      <c r="F50" s="27" t="s">
        <v>12</v>
      </c>
      <c r="G50" s="27"/>
      <c r="H50" s="27" t="s">
        <v>2</v>
      </c>
      <c r="I50" s="27"/>
      <c r="J50" s="27" t="s">
        <v>55</v>
      </c>
      <c r="K50" s="27"/>
      <c r="L50" s="27" t="s">
        <v>15</v>
      </c>
      <c r="M50" s="27"/>
      <c r="N50" s="27" t="s">
        <v>15</v>
      </c>
      <c r="O50" s="27"/>
      <c r="P50" s="27" t="s">
        <v>15</v>
      </c>
      <c r="Q50" s="27"/>
      <c r="R50" s="31" t="s">
        <v>63</v>
      </c>
      <c r="S50" s="27"/>
      <c r="T50" s="27" t="s">
        <v>15</v>
      </c>
      <c r="U50" s="27"/>
      <c r="V50" s="28">
        <f>'Pre-Mitigated VA'!V50</f>
        <v>8.1</v>
      </c>
      <c r="W50" s="30">
        <f t="shared" si="19"/>
        <v>3</v>
      </c>
      <c r="X50" s="34"/>
      <c r="Y50" s="34" t="s">
        <v>480</v>
      </c>
      <c r="AA50">
        <f t="shared" si="20"/>
        <v>0.39500000000000002</v>
      </c>
      <c r="AB50">
        <f t="shared" si="21"/>
        <v>0.35</v>
      </c>
      <c r="AC50">
        <f t="shared" si="22"/>
        <v>0.45</v>
      </c>
      <c r="AD50">
        <f t="shared" si="23"/>
        <v>0</v>
      </c>
      <c r="AE50">
        <f t="shared" si="24"/>
        <v>0</v>
      </c>
      <c r="AF50">
        <f t="shared" si="25"/>
        <v>0</v>
      </c>
      <c r="AG50">
        <f t="shared" si="26"/>
        <v>0</v>
      </c>
      <c r="AH50">
        <f t="shared" si="27"/>
        <v>0.3</v>
      </c>
      <c r="AI50">
        <f t="shared" si="28"/>
        <v>0</v>
      </c>
      <c r="AJ50">
        <f>IF( $AV50=FALSE,VLOOKUP(Properties!$B$4, Confidentiality_Requirement,3,FALSE),0)</f>
        <v>1.51</v>
      </c>
      <c r="AK50">
        <f>IF( $AV50=FALSE,VLOOKUP(Properties!$B$5, Integrity_Requirement,3,FALSE),0)</f>
        <v>1.51</v>
      </c>
      <c r="AL50">
        <f>IF( $AV50=FALSE,VLOOKUP(Properties!$B$6, Availability_Requirement,3,FALSE),0)</f>
        <v>1.51</v>
      </c>
      <c r="AM50" s="14">
        <f t="shared" si="29"/>
        <v>0</v>
      </c>
      <c r="AN50" s="14">
        <f t="shared" si="30"/>
        <v>1.2442500000000001</v>
      </c>
      <c r="AO50" s="4">
        <f t="shared" si="31"/>
        <v>0</v>
      </c>
      <c r="AP50" s="15">
        <f t="shared" si="32"/>
        <v>0</v>
      </c>
      <c r="AQ50" s="15">
        <f t="shared" si="33"/>
        <v>0</v>
      </c>
      <c r="AR50" s="15">
        <f t="shared" si="34"/>
        <v>0</v>
      </c>
      <c r="AS50" s="15">
        <f t="shared" si="35"/>
        <v>3</v>
      </c>
      <c r="AT50">
        <f t="shared" si="36"/>
        <v>3</v>
      </c>
      <c r="AU50">
        <f t="shared" si="37"/>
        <v>3</v>
      </c>
      <c r="AV50" t="b">
        <f>IF(OR(F50="Undefined",H50="Undefined",J50="Undefined",L50="Undefined",N50="Undefined",P50="Undefined",R50="Undefined",T50="Undefined",'Pre-Mitigated VA'!$VA50=TRUE),TRUE, FALSE)</f>
        <v>0</v>
      </c>
      <c r="AW50"/>
      <c r="AX50"/>
      <c r="AY50"/>
      <c r="AZ50"/>
    </row>
    <row r="51" spans="1:52" ht="298.95" customHeight="1" x14ac:dyDescent="0.25">
      <c r="A51" s="38">
        <f>IF(ISBLANK('Pre-Mitigated VA'!A51),"",'Pre-Mitigated VA'!A51)</f>
        <v>186</v>
      </c>
      <c r="B51" s="26" t="str">
        <f>IF(ISBLANK('Pre-Mitigated VA'!B51),"",'Pre-Mitigated VA'!B51)</f>
        <v>Excessive or Uncontrolled Resource Consumption by Lock</v>
      </c>
      <c r="C51" s="26" t="str">
        <f>IF(ISBLANK('Pre-Mitigated VA'!C51),"",'Pre-Mitigated VA'!C51)</f>
        <v>User Input in to Lock - Denial of Service</v>
      </c>
      <c r="D51" s="26" t="str">
        <f>IF(ISBLANK('Pre-Mitigated VA'!D51),"",'Pre-Mitigated VA'!D51)</f>
        <v>Resource consumption attacks can be hard to deal with, and there are times that it makes sense to let the operating system/CPU do the job. Be careful that your resource requests do not deadlock or timeout. Does Lock take explicit steps to control resource consumption?</v>
      </c>
      <c r="E51" s="38" t="str">
        <f>IF(ISBLANK('Pre-Mitigated VA'!E51),"",'Pre-Mitigated VA'!E51)</f>
        <v>No</v>
      </c>
      <c r="F51" s="27" t="s">
        <v>12</v>
      </c>
      <c r="G51" s="27"/>
      <c r="H51" s="27" t="s">
        <v>3</v>
      </c>
      <c r="I51" s="27"/>
      <c r="J51" s="27" t="s">
        <v>55</v>
      </c>
      <c r="K51" s="27"/>
      <c r="L51" s="27" t="s">
        <v>15</v>
      </c>
      <c r="M51" s="27"/>
      <c r="N51" s="27" t="s">
        <v>15</v>
      </c>
      <c r="O51" s="27"/>
      <c r="P51" s="27" t="s">
        <v>16</v>
      </c>
      <c r="Q51" s="27"/>
      <c r="R51" s="31" t="s">
        <v>3</v>
      </c>
      <c r="S51" s="27"/>
      <c r="T51" s="27" t="s">
        <v>15</v>
      </c>
      <c r="U51" s="27"/>
      <c r="V51" s="28">
        <f>'Pre-Mitigated VA'!V51</f>
        <v>7.4</v>
      </c>
      <c r="W51" s="30">
        <f t="shared" si="19"/>
        <v>3.3</v>
      </c>
      <c r="X51" s="34"/>
      <c r="Y51" s="34" t="s">
        <v>502</v>
      </c>
      <c r="AA51">
        <f t="shared" si="20"/>
        <v>0.39500000000000002</v>
      </c>
      <c r="AB51">
        <f t="shared" si="21"/>
        <v>0.71</v>
      </c>
      <c r="AC51">
        <f t="shared" si="22"/>
        <v>0.45</v>
      </c>
      <c r="AD51">
        <f t="shared" si="23"/>
        <v>0</v>
      </c>
      <c r="AE51">
        <f t="shared" si="24"/>
        <v>0</v>
      </c>
      <c r="AF51">
        <f t="shared" si="25"/>
        <v>0.27500000000000002</v>
      </c>
      <c r="AG51">
        <f t="shared" si="26"/>
        <v>1.4</v>
      </c>
      <c r="AH51">
        <f t="shared" si="27"/>
        <v>0.1</v>
      </c>
      <c r="AI51">
        <f t="shared" si="28"/>
        <v>0</v>
      </c>
      <c r="AJ51">
        <f>IF( $AV51=FALSE,VLOOKUP(Properties!$B$4, Confidentiality_Requirement,3,FALSE),0)</f>
        <v>1.51</v>
      </c>
      <c r="AK51">
        <f>IF( $AV51=FALSE,VLOOKUP(Properties!$B$5, Integrity_Requirement,3,FALSE),0)</f>
        <v>1.51</v>
      </c>
      <c r="AL51">
        <f>IF( $AV51=FALSE,VLOOKUP(Properties!$B$6, Availability_Requirement,3,FALSE),0)</f>
        <v>1.51</v>
      </c>
      <c r="AM51" s="14">
        <f t="shared" si="29"/>
        <v>2.8627500000000001</v>
      </c>
      <c r="AN51" s="14">
        <f t="shared" si="30"/>
        <v>2.5240499999999999</v>
      </c>
      <c r="AO51" s="4">
        <f t="shared" si="31"/>
        <v>1.1759999999999999</v>
      </c>
      <c r="AP51" s="15">
        <f t="shared" si="32"/>
        <v>4.3</v>
      </c>
      <c r="AQ51" s="15">
        <f t="shared" si="33"/>
        <v>2.5</v>
      </c>
      <c r="AR51" s="15">
        <f t="shared" si="34"/>
        <v>2.5</v>
      </c>
      <c r="AS51" s="15">
        <f t="shared" si="35"/>
        <v>3.3</v>
      </c>
      <c r="AT51">
        <f t="shared" si="36"/>
        <v>3.3</v>
      </c>
      <c r="AU51">
        <f t="shared" si="37"/>
        <v>3.3</v>
      </c>
      <c r="AV51" t="b">
        <f>IF(OR(F51="Undefined",H51="Undefined",J51="Undefined",L51="Undefined",N51="Undefined",P51="Undefined",R51="Undefined",T51="Undefined",'Pre-Mitigated VA'!$VA51=TRUE),TRUE, FALSE)</f>
        <v>0</v>
      </c>
      <c r="AW51"/>
      <c r="AX51"/>
      <c r="AY51"/>
      <c r="AZ51"/>
    </row>
    <row r="52" spans="1:52" ht="115.05" customHeight="1" x14ac:dyDescent="0.25">
      <c r="A52" s="38">
        <f>IF(ISBLANK('Pre-Mitigated VA'!A52),"",'Pre-Mitigated VA'!A52)</f>
        <v>187</v>
      </c>
      <c r="B52" s="26" t="str">
        <f>IF(ISBLANK('Pre-Mitigated VA'!B52),"",'Pre-Mitigated VA'!B52)</f>
        <v>Unnecessary and Unused Privileged Features or Services</v>
      </c>
      <c r="C52" s="26" t="str">
        <f>IF(ISBLANK('Pre-Mitigated VA'!C52),"",'Pre-Mitigated VA'!C52)</f>
        <v>User Input in to Lock - Elevation of Privileges</v>
      </c>
      <c r="D52" s="26" t="str">
        <f>IF(ISBLANK('Pre-Mitigated VA'!D52),"",'Pre-Mitigated VA'!D52)</f>
        <v>An adversary may utilize unused features or privileged services on Lock, such as the user interface, USB and other ports, manufacturing features, platform features like camera, microphone or location services, etc. Unused features increase the attack surface and serve as additional entry points for the adversary.</v>
      </c>
      <c r="E52" s="38" t="str">
        <f>IF(ISBLANK('Pre-Mitigated VA'!E52),"",'Pre-Mitigated VA'!E52)</f>
        <v>Undefined</v>
      </c>
      <c r="F52" s="27" t="s">
        <v>45</v>
      </c>
      <c r="G52" s="27"/>
      <c r="H52" s="27" t="s">
        <v>45</v>
      </c>
      <c r="I52" s="27"/>
      <c r="J52" s="27" t="s">
        <v>45</v>
      </c>
      <c r="K52" s="27"/>
      <c r="L52" s="27" t="s">
        <v>45</v>
      </c>
      <c r="M52" s="27"/>
      <c r="N52" s="27" t="s">
        <v>45</v>
      </c>
      <c r="O52" s="27"/>
      <c r="P52" s="27" t="s">
        <v>45</v>
      </c>
      <c r="Q52" s="27"/>
      <c r="R52" s="31" t="s">
        <v>45</v>
      </c>
      <c r="S52" s="27"/>
      <c r="T52" s="27" t="s">
        <v>15</v>
      </c>
      <c r="U52" s="27"/>
      <c r="V52" s="28" t="str">
        <f>'Pre-Mitigated VA'!V52</f>
        <v>INCOMPLETE</v>
      </c>
      <c r="W52" s="30" t="str">
        <f t="shared" si="19"/>
        <v>INCOMPLETE</v>
      </c>
      <c r="X52" s="34"/>
      <c r="Y52" s="34"/>
      <c r="AA52">
        <f t="shared" si="20"/>
        <v>0</v>
      </c>
      <c r="AB52">
        <f t="shared" si="21"/>
        <v>0</v>
      </c>
      <c r="AC52">
        <f t="shared" si="22"/>
        <v>0</v>
      </c>
      <c r="AD52">
        <f t="shared" si="23"/>
        <v>0</v>
      </c>
      <c r="AE52">
        <f t="shared" si="24"/>
        <v>0</v>
      </c>
      <c r="AF52">
        <f t="shared" si="25"/>
        <v>0</v>
      </c>
      <c r="AG52">
        <f t="shared" si="26"/>
        <v>0</v>
      </c>
      <c r="AH52">
        <f t="shared" si="27"/>
        <v>0</v>
      </c>
      <c r="AI52">
        <f t="shared" si="28"/>
        <v>0</v>
      </c>
      <c r="AJ52">
        <f>IF( $AV52=FALSE,VLOOKUP(Properties!$B$4, Confidentiality_Requirement,3,FALSE),0)</f>
        <v>0</v>
      </c>
      <c r="AK52">
        <f>IF( $AV52=FALSE,VLOOKUP(Properties!$B$5, Integrity_Requirement,3,FALSE),0)</f>
        <v>0</v>
      </c>
      <c r="AL52">
        <f>IF( $AV52=FALSE,VLOOKUP(Properties!$B$6, Availability_Requirement,3,FALSE),0)</f>
        <v>0</v>
      </c>
      <c r="AM52" s="14">
        <f t="shared" si="29"/>
        <v>0</v>
      </c>
      <c r="AN52" s="14">
        <f t="shared" si="30"/>
        <v>0</v>
      </c>
      <c r="AO52" s="4">
        <f t="shared" si="31"/>
        <v>0</v>
      </c>
      <c r="AP52" s="15">
        <f t="shared" si="32"/>
        <v>0</v>
      </c>
      <c r="AQ52" s="15">
        <f t="shared" si="33"/>
        <v>0</v>
      </c>
      <c r="AR52" s="15">
        <f t="shared" si="34"/>
        <v>0</v>
      </c>
      <c r="AS52" s="15">
        <f t="shared" si="35"/>
        <v>0</v>
      </c>
      <c r="AT52">
        <f t="shared" si="36"/>
        <v>0</v>
      </c>
      <c r="AU52">
        <f t="shared" si="37"/>
        <v>0</v>
      </c>
      <c r="AV52" t="b">
        <f>IF(OR(F52="Undefined",H52="Undefined",J52="Undefined",L52="Undefined",N52="Undefined",P52="Undefined",R52="Undefined",T52="Undefined",'Pre-Mitigated VA'!$VA52=TRUE),TRUE, FALSE)</f>
        <v>1</v>
      </c>
      <c r="AW52"/>
      <c r="AX52"/>
      <c r="AY52"/>
      <c r="AZ52"/>
    </row>
    <row r="53" spans="1:52" ht="312" customHeight="1" x14ac:dyDescent="0.25">
      <c r="A53" s="38">
        <f>IF(ISBLANK('Pre-Mitigated VA'!A53),"",'Pre-Mitigated VA'!A53)</f>
        <v>188</v>
      </c>
      <c r="B53" s="26" t="str">
        <f>IF(ISBLANK('Pre-Mitigated VA'!B53),"",'Pre-Mitigated VA'!B53)</f>
        <v>Weak Authentication and/or Authorization Schema</v>
      </c>
      <c r="C53" s="26" t="str">
        <f>IF(ISBLANK('Pre-Mitigated VA'!C53),"",'Pre-Mitigated VA'!C53)</f>
        <v>User Input in to Lock - Elevation of Privileges</v>
      </c>
      <c r="D53" s="26" t="str">
        <f>IF(ISBLANK('Pre-Mitigated VA'!D53),"",'Pre-Mitigated VA'!D53)</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53" s="38" t="str">
        <f>IF(ISBLANK('Pre-Mitigated VA'!E53),"",'Pre-Mitigated VA'!E53)</f>
        <v>No</v>
      </c>
      <c r="F53" s="27" t="s">
        <v>12</v>
      </c>
      <c r="G53" s="27"/>
      <c r="H53" s="27" t="s">
        <v>2</v>
      </c>
      <c r="I53" s="27"/>
      <c r="J53" s="27" t="s">
        <v>55</v>
      </c>
      <c r="K53" s="27"/>
      <c r="L53" s="27" t="s">
        <v>15</v>
      </c>
      <c r="M53" s="27"/>
      <c r="N53" s="27" t="s">
        <v>15</v>
      </c>
      <c r="O53" s="27"/>
      <c r="P53" s="27" t="s">
        <v>15</v>
      </c>
      <c r="Q53" s="27"/>
      <c r="R53" s="31" t="s">
        <v>3</v>
      </c>
      <c r="S53" s="27"/>
      <c r="T53" s="27" t="s">
        <v>15</v>
      </c>
      <c r="U53" s="27"/>
      <c r="V53" s="28">
        <f>'Pre-Mitigated VA'!V53</f>
        <v>5.5</v>
      </c>
      <c r="W53" s="30">
        <f t="shared" si="19"/>
        <v>1</v>
      </c>
      <c r="X53" s="34"/>
      <c r="Y53" s="34" t="s">
        <v>482</v>
      </c>
      <c r="AA53">
        <f t="shared" si="20"/>
        <v>0.39500000000000002</v>
      </c>
      <c r="AB53">
        <f t="shared" si="21"/>
        <v>0.35</v>
      </c>
      <c r="AC53">
        <f t="shared" si="22"/>
        <v>0.45</v>
      </c>
      <c r="AD53">
        <f t="shared" si="23"/>
        <v>0</v>
      </c>
      <c r="AE53">
        <f t="shared" si="24"/>
        <v>0</v>
      </c>
      <c r="AF53">
        <f t="shared" si="25"/>
        <v>0</v>
      </c>
      <c r="AG53">
        <f t="shared" si="26"/>
        <v>0</v>
      </c>
      <c r="AH53">
        <f t="shared" si="27"/>
        <v>0.1</v>
      </c>
      <c r="AI53">
        <f t="shared" si="28"/>
        <v>0</v>
      </c>
      <c r="AJ53">
        <f>IF( $AV53=FALSE,VLOOKUP(Properties!$B$4, Confidentiality_Requirement,3,FALSE),0)</f>
        <v>1.51</v>
      </c>
      <c r="AK53">
        <f>IF( $AV53=FALSE,VLOOKUP(Properties!$B$5, Integrity_Requirement,3,FALSE),0)</f>
        <v>1.51</v>
      </c>
      <c r="AL53">
        <f>IF( $AV53=FALSE,VLOOKUP(Properties!$B$6, Availability_Requirement,3,FALSE),0)</f>
        <v>1.51</v>
      </c>
      <c r="AM53" s="14">
        <f t="shared" si="29"/>
        <v>0</v>
      </c>
      <c r="AN53" s="14">
        <f t="shared" si="30"/>
        <v>1.2442500000000001</v>
      </c>
      <c r="AO53" s="4">
        <f t="shared" si="31"/>
        <v>0</v>
      </c>
      <c r="AP53" s="15">
        <f t="shared" si="32"/>
        <v>0</v>
      </c>
      <c r="AQ53" s="15">
        <f t="shared" si="33"/>
        <v>0</v>
      </c>
      <c r="AR53" s="15">
        <f t="shared" si="34"/>
        <v>0</v>
      </c>
      <c r="AS53" s="15">
        <f t="shared" si="35"/>
        <v>1</v>
      </c>
      <c r="AT53">
        <f t="shared" si="36"/>
        <v>1</v>
      </c>
      <c r="AU53">
        <f t="shared" si="37"/>
        <v>1</v>
      </c>
      <c r="AV53" t="b">
        <f>IF(OR(F53="Undefined",H53="Undefined",J53="Undefined",L53="Undefined",N53="Undefined",P53="Undefined",R53="Undefined",T53="Undefined",'Pre-Mitigated VA'!$VA53=TRUE),TRUE, FALSE)</f>
        <v>0</v>
      </c>
      <c r="AW53"/>
      <c r="AX53"/>
      <c r="AY53"/>
      <c r="AZ53"/>
    </row>
    <row r="54" spans="1:52" ht="85.95" customHeight="1" x14ac:dyDescent="0.25">
      <c r="A54" s="38">
        <f>IF(ISBLANK('Pre-Mitigated VA'!A54),"",'Pre-Mitigated VA'!A54)</f>
        <v>194</v>
      </c>
      <c r="B54" s="26" t="str">
        <f>IF(ISBLANK('Pre-Mitigated VA'!B54),"",'Pre-Mitigated VA'!B54)</f>
        <v xml:space="preserve">Spoofed Communication on Embedded Communication out from ZigBee or Spoofed Device Lock Zigbee Module </v>
      </c>
      <c r="C54" s="26" t="str">
        <f>IF(ISBLANK('Pre-Mitigated VA'!C54),"",'Pre-Mitigated VA'!C54)</f>
        <v>Embedded Communication out from ZigBee - Spoofing</v>
      </c>
      <c r="D54" s="26" t="str">
        <f>IF(ISBLANK('Pre-Mitigated VA'!D54),"",'Pre-Mitigated VA'!D54)</f>
        <v>The wired or wireless connection, Embedded Communication out from ZigBee, is replaced with an adversary's spoofed implementation, or Lock Zigbee Module , the source of data communicated over Embedded Communication out from ZigBee, is not properly authenticated and verified.</v>
      </c>
      <c r="E54" s="38" t="str">
        <f>IF(ISBLANK('Pre-Mitigated VA'!E54),"",'Pre-Mitigated VA'!E54)</f>
        <v>Undefined</v>
      </c>
      <c r="F54" s="27" t="s">
        <v>45</v>
      </c>
      <c r="G54" s="27"/>
      <c r="H54" s="27" t="s">
        <v>45</v>
      </c>
      <c r="I54" s="27"/>
      <c r="J54" s="27" t="s">
        <v>45</v>
      </c>
      <c r="K54" s="27"/>
      <c r="L54" s="27" t="s">
        <v>45</v>
      </c>
      <c r="M54" s="27"/>
      <c r="N54" s="27" t="s">
        <v>45</v>
      </c>
      <c r="O54" s="27"/>
      <c r="P54" s="27" t="s">
        <v>45</v>
      </c>
      <c r="Q54" s="27"/>
      <c r="R54" s="31" t="s">
        <v>45</v>
      </c>
      <c r="S54" s="27"/>
      <c r="T54" s="27" t="s">
        <v>15</v>
      </c>
      <c r="U54" s="27"/>
      <c r="V54" s="28" t="str">
        <f>'Pre-Mitigated VA'!V54</f>
        <v>INCOMPLETE</v>
      </c>
      <c r="W54" s="30" t="str">
        <f t="shared" si="19"/>
        <v>INCOMPLETE</v>
      </c>
      <c r="X54" s="34"/>
      <c r="Y54" s="34"/>
      <c r="AA54">
        <f t="shared" si="20"/>
        <v>0</v>
      </c>
      <c r="AB54">
        <f t="shared" si="21"/>
        <v>0</v>
      </c>
      <c r="AC54">
        <f t="shared" si="22"/>
        <v>0</v>
      </c>
      <c r="AD54">
        <f t="shared" si="23"/>
        <v>0</v>
      </c>
      <c r="AE54">
        <f t="shared" si="24"/>
        <v>0</v>
      </c>
      <c r="AF54">
        <f t="shared" si="25"/>
        <v>0</v>
      </c>
      <c r="AG54">
        <f t="shared" si="26"/>
        <v>0</v>
      </c>
      <c r="AH54">
        <f t="shared" si="27"/>
        <v>0</v>
      </c>
      <c r="AI54">
        <f t="shared" si="28"/>
        <v>0</v>
      </c>
      <c r="AJ54">
        <f>IF( $AV54=FALSE,VLOOKUP(Properties!$B$4, Confidentiality_Requirement,3,FALSE),0)</f>
        <v>0</v>
      </c>
      <c r="AK54">
        <f>IF( $AV54=FALSE,VLOOKUP(Properties!$B$5, Integrity_Requirement,3,FALSE),0)</f>
        <v>0</v>
      </c>
      <c r="AL54">
        <f>IF( $AV54=FALSE,VLOOKUP(Properties!$B$6, Availability_Requirement,3,FALSE),0)</f>
        <v>0</v>
      </c>
      <c r="AM54" s="14">
        <f t="shared" si="29"/>
        <v>0</v>
      </c>
      <c r="AN54" s="14">
        <f t="shared" si="30"/>
        <v>0</v>
      </c>
      <c r="AO54" s="4">
        <f t="shared" si="31"/>
        <v>0</v>
      </c>
      <c r="AP54" s="15">
        <f t="shared" si="32"/>
        <v>0</v>
      </c>
      <c r="AQ54" s="15">
        <f t="shared" si="33"/>
        <v>0</v>
      </c>
      <c r="AR54" s="15">
        <f t="shared" si="34"/>
        <v>0</v>
      </c>
      <c r="AS54" s="15">
        <f t="shared" si="35"/>
        <v>0</v>
      </c>
      <c r="AT54">
        <f t="shared" si="36"/>
        <v>0</v>
      </c>
      <c r="AU54">
        <f t="shared" si="37"/>
        <v>0</v>
      </c>
      <c r="AV54" t="b">
        <f>IF(OR(F54="Undefined",H54="Undefined",J54="Undefined",L54="Undefined",N54="Undefined",P54="Undefined",R54="Undefined",T54="Undefined",'Pre-Mitigated VA'!$VA54=TRUE),TRUE, FALSE)</f>
        <v>1</v>
      </c>
      <c r="AW54"/>
      <c r="AX54"/>
      <c r="AY54"/>
      <c r="AZ54"/>
    </row>
    <row r="55" spans="1:52" ht="193.95" customHeight="1" x14ac:dyDescent="0.25">
      <c r="A55" s="38">
        <f>IF(ISBLANK('Pre-Mitigated VA'!A55),"",'Pre-Mitigated VA'!A55)</f>
        <v>195</v>
      </c>
      <c r="B55" s="26" t="str">
        <f>IF(ISBLANK('Pre-Mitigated VA'!B55),"",'Pre-Mitigated VA'!B55)</f>
        <v>Tampering with Communicated Data on Embedded Communication out from ZigBee</v>
      </c>
      <c r="C55" s="26" t="str">
        <f>IF(ISBLANK('Pre-Mitigated VA'!C55),"",'Pre-Mitigated VA'!C55)</f>
        <v>Embedded Communication out from ZigBee - Tampering</v>
      </c>
      <c r="D55" s="26" t="str">
        <f>IF(ISBLANK('Pre-Mitigated VA'!D55),"",'Pre-Mitigated VA'!D55)</f>
        <v>An adversary may tamper with communicated data on Embedded Communication out from ZigBee, and if data are not properly verified for integrity prior to accepting or acting upon the data, then the system may behave in an unintended manner.</v>
      </c>
      <c r="E55" s="38" t="str">
        <f>IF(ISBLANK('Pre-Mitigated VA'!E55),"",'Pre-Mitigated VA'!E55)</f>
        <v>No</v>
      </c>
      <c r="F55" s="27" t="s">
        <v>12</v>
      </c>
      <c r="G55" s="27"/>
      <c r="H55" s="27" t="s">
        <v>2</v>
      </c>
      <c r="I55" s="27"/>
      <c r="J55" s="27" t="s">
        <v>55</v>
      </c>
      <c r="K55" s="27"/>
      <c r="L55" s="27" t="s">
        <v>16</v>
      </c>
      <c r="M55" s="27"/>
      <c r="N55" s="27" t="s">
        <v>15</v>
      </c>
      <c r="O55" s="27"/>
      <c r="P55" s="27" t="s">
        <v>15</v>
      </c>
      <c r="Q55" s="27"/>
      <c r="R55" s="31" t="s">
        <v>3</v>
      </c>
      <c r="S55" s="27"/>
      <c r="T55" s="27" t="s">
        <v>15</v>
      </c>
      <c r="U55" s="27"/>
      <c r="V55" s="28">
        <f>'Pre-Mitigated VA'!V55</f>
        <v>8</v>
      </c>
      <c r="W55" s="30">
        <f t="shared" si="19"/>
        <v>2.7</v>
      </c>
      <c r="X55" s="34"/>
      <c r="Y55" s="34" t="s">
        <v>469</v>
      </c>
      <c r="AA55">
        <f t="shared" si="20"/>
        <v>0.39500000000000002</v>
      </c>
      <c r="AB55">
        <f t="shared" si="21"/>
        <v>0.35</v>
      </c>
      <c r="AC55">
        <f t="shared" si="22"/>
        <v>0.45</v>
      </c>
      <c r="AD55">
        <f t="shared" si="23"/>
        <v>0.27500000000000002</v>
      </c>
      <c r="AE55">
        <f t="shared" si="24"/>
        <v>0</v>
      </c>
      <c r="AF55">
        <f t="shared" si="25"/>
        <v>0</v>
      </c>
      <c r="AG55">
        <f t="shared" si="26"/>
        <v>0.8</v>
      </c>
      <c r="AH55">
        <f t="shared" si="27"/>
        <v>0.1</v>
      </c>
      <c r="AI55">
        <f t="shared" si="28"/>
        <v>0</v>
      </c>
      <c r="AJ55">
        <f>IF( $AV55=FALSE,VLOOKUP(Properties!$B$4, Confidentiality_Requirement,3,FALSE),0)</f>
        <v>1.51</v>
      </c>
      <c r="AK55">
        <f>IF( $AV55=FALSE,VLOOKUP(Properties!$B$5, Integrity_Requirement,3,FALSE),0)</f>
        <v>1.51</v>
      </c>
      <c r="AL55">
        <f>IF( $AV55=FALSE,VLOOKUP(Properties!$B$6, Availability_Requirement,3,FALSE),0)</f>
        <v>1.51</v>
      </c>
      <c r="AM55" s="14">
        <f t="shared" si="29"/>
        <v>2.8627500000000001</v>
      </c>
      <c r="AN55" s="14">
        <f t="shared" si="30"/>
        <v>1.2442500000000001</v>
      </c>
      <c r="AO55" s="4">
        <f t="shared" si="31"/>
        <v>1.1759999999999999</v>
      </c>
      <c r="AP55" s="15">
        <f t="shared" si="32"/>
        <v>4.3</v>
      </c>
      <c r="AQ55" s="15">
        <f t="shared" si="33"/>
        <v>1.9</v>
      </c>
      <c r="AR55" s="15">
        <f t="shared" si="34"/>
        <v>1.9</v>
      </c>
      <c r="AS55" s="15">
        <f t="shared" si="35"/>
        <v>2.7</v>
      </c>
      <c r="AT55">
        <f t="shared" si="36"/>
        <v>2.7</v>
      </c>
      <c r="AU55">
        <f t="shared" si="37"/>
        <v>2.7</v>
      </c>
      <c r="AV55" t="b">
        <f>IF(OR(F55="Undefined",H55="Undefined",J55="Undefined",L55="Undefined",N55="Undefined",P55="Undefined",R55="Undefined",T55="Undefined",'Pre-Mitigated VA'!$VA55=TRUE),TRUE, FALSE)</f>
        <v>0</v>
      </c>
      <c r="AW55"/>
      <c r="AX55"/>
      <c r="AY55"/>
      <c r="AZ55"/>
    </row>
    <row r="56" spans="1:52" ht="73.95" customHeight="1" x14ac:dyDescent="0.25">
      <c r="A56" s="38">
        <f>IF(ISBLANK('Pre-Mitigated VA'!A56),"",'Pre-Mitigated VA'!A56)</f>
        <v>196</v>
      </c>
      <c r="B56" s="26" t="str">
        <f>IF(ISBLANK('Pre-Mitigated VA'!B56),"",'Pre-Mitigated VA'!B56)</f>
        <v>Sniffing Communications from Lock Zigbee Module  on Embedded Communication out from ZigBee</v>
      </c>
      <c r="C56" s="26" t="str">
        <f>IF(ISBLANK('Pre-Mitigated VA'!C56),"",'Pre-Mitigated VA'!C56)</f>
        <v>Embedded Communication out from ZigBee - Information Disclosure</v>
      </c>
      <c r="D56" s="26" t="str">
        <f>IF(ISBLANK('Pre-Mitigated VA'!D56),"",'Pre-Mitigated VA'!D56)</f>
        <v>An adversary can gain access to sensitive data in an unauthorized manner by sniffing communications on Embedded Communication out from ZigBee due to a lack of data confidentiality protections.</v>
      </c>
      <c r="E56" s="38" t="str">
        <f>IF(ISBLANK('Pre-Mitigated VA'!E56),"",'Pre-Mitigated VA'!E56)</f>
        <v>Yes</v>
      </c>
      <c r="F56" s="27" t="s">
        <v>12</v>
      </c>
      <c r="G56" s="27"/>
      <c r="H56" s="27" t="s">
        <v>2</v>
      </c>
      <c r="I56" s="27"/>
      <c r="J56" s="27" t="s">
        <v>53</v>
      </c>
      <c r="K56" s="27"/>
      <c r="L56" s="27" t="s">
        <v>16</v>
      </c>
      <c r="M56" s="27"/>
      <c r="N56" s="27" t="s">
        <v>15</v>
      </c>
      <c r="O56" s="27"/>
      <c r="P56" s="27" t="s">
        <v>15</v>
      </c>
      <c r="Q56" s="27"/>
      <c r="R56" s="31" t="s">
        <v>3</v>
      </c>
      <c r="S56" s="27"/>
      <c r="T56" s="27" t="s">
        <v>15</v>
      </c>
      <c r="U56" s="27"/>
      <c r="V56" s="28">
        <f>'Pre-Mitigated VA'!V56</f>
        <v>7.9</v>
      </c>
      <c r="W56" s="30">
        <f t="shared" si="19"/>
        <v>2.8</v>
      </c>
      <c r="X56" s="34"/>
      <c r="Y56" s="34" t="s">
        <v>483</v>
      </c>
      <c r="AA56">
        <f t="shared" si="20"/>
        <v>0.39500000000000002</v>
      </c>
      <c r="AB56">
        <f t="shared" si="21"/>
        <v>0.35</v>
      </c>
      <c r="AC56">
        <f t="shared" si="22"/>
        <v>0.56000000000000005</v>
      </c>
      <c r="AD56">
        <f t="shared" si="23"/>
        <v>0.27500000000000002</v>
      </c>
      <c r="AE56">
        <f t="shared" si="24"/>
        <v>0</v>
      </c>
      <c r="AF56">
        <f t="shared" si="25"/>
        <v>0</v>
      </c>
      <c r="AG56">
        <f t="shared" si="26"/>
        <v>1</v>
      </c>
      <c r="AH56">
        <f t="shared" si="27"/>
        <v>0.1</v>
      </c>
      <c r="AI56">
        <f t="shared" si="28"/>
        <v>0</v>
      </c>
      <c r="AJ56">
        <f>IF( $AV56=FALSE,VLOOKUP(Properties!$B$4, Confidentiality_Requirement,3,FALSE),0)</f>
        <v>1.51</v>
      </c>
      <c r="AK56">
        <f>IF( $AV56=FALSE,VLOOKUP(Properties!$B$5, Integrity_Requirement,3,FALSE),0)</f>
        <v>1.51</v>
      </c>
      <c r="AL56">
        <f>IF( $AV56=FALSE,VLOOKUP(Properties!$B$6, Availability_Requirement,3,FALSE),0)</f>
        <v>1.51</v>
      </c>
      <c r="AM56" s="14">
        <f t="shared" si="29"/>
        <v>2.8627500000000001</v>
      </c>
      <c r="AN56" s="14">
        <f t="shared" si="30"/>
        <v>1.5484000000000002</v>
      </c>
      <c r="AO56" s="4">
        <f t="shared" si="31"/>
        <v>1.1759999999999999</v>
      </c>
      <c r="AP56" s="15">
        <f t="shared" si="32"/>
        <v>4.3</v>
      </c>
      <c r="AQ56" s="15">
        <f t="shared" si="33"/>
        <v>2</v>
      </c>
      <c r="AR56" s="15">
        <f t="shared" si="34"/>
        <v>2</v>
      </c>
      <c r="AS56" s="15">
        <f t="shared" si="35"/>
        <v>2.8</v>
      </c>
      <c r="AT56">
        <f t="shared" si="36"/>
        <v>2.8</v>
      </c>
      <c r="AU56">
        <f t="shared" si="37"/>
        <v>2.8</v>
      </c>
      <c r="AV56" t="b">
        <f>IF(OR(F56="Undefined",H56="Undefined",J56="Undefined",L56="Undefined",N56="Undefined",P56="Undefined",R56="Undefined",T56="Undefined",'Pre-Mitigated VA'!$VA56=TRUE),TRUE, FALSE)</f>
        <v>0</v>
      </c>
      <c r="AW56"/>
      <c r="AX56"/>
      <c r="AY56"/>
      <c r="AZ56"/>
    </row>
    <row r="57" spans="1:52" ht="61.05" customHeight="1" x14ac:dyDescent="0.25">
      <c r="A57" s="38">
        <f>IF(ISBLANK('Pre-Mitigated VA'!A57),"",'Pre-Mitigated VA'!A57)</f>
        <v>197</v>
      </c>
      <c r="B57" s="26" t="str">
        <f>IF(ISBLANK('Pre-Mitigated VA'!B57),"",'Pre-Mitigated VA'!B57)</f>
        <v>Interuption or Corruption of Data on Embedded Communication out from ZigBee</v>
      </c>
      <c r="C57" s="26" t="str">
        <f>IF(ISBLANK('Pre-Mitigated VA'!C57),"",'Pre-Mitigated VA'!C57)</f>
        <v>Embedded Communication out from ZigBee - Denial of Service</v>
      </c>
      <c r="D57" s="26" t="str">
        <f>IF(ISBLANK('Pre-Mitigated VA'!D57),"",'Pre-Mitigated VA'!D57)</f>
        <v>An external agent interrupts or corrupts data flowing on Embedded Communication out from ZigBee, denying the availability of the communicated data.</v>
      </c>
      <c r="E57" s="38" t="str">
        <f>IF(ISBLANK('Pre-Mitigated VA'!E57),"",'Pre-Mitigated VA'!E57)</f>
        <v>Yes</v>
      </c>
      <c r="F57" s="27" t="s">
        <v>12</v>
      </c>
      <c r="G57" s="27"/>
      <c r="H57" s="27" t="s">
        <v>2</v>
      </c>
      <c r="I57" s="27"/>
      <c r="J57" s="27" t="s">
        <v>55</v>
      </c>
      <c r="K57" s="27"/>
      <c r="L57" s="27" t="s">
        <v>15</v>
      </c>
      <c r="M57" s="27"/>
      <c r="N57" s="27" t="s">
        <v>16</v>
      </c>
      <c r="O57" s="27"/>
      <c r="P57" s="27" t="s">
        <v>15</v>
      </c>
      <c r="Q57" s="27"/>
      <c r="R57" s="31" t="s">
        <v>3</v>
      </c>
      <c r="S57" s="27"/>
      <c r="T57" s="27" t="s">
        <v>15</v>
      </c>
      <c r="U57" s="27"/>
      <c r="V57" s="28">
        <f>'Pre-Mitigated VA'!V57</f>
        <v>7.8</v>
      </c>
      <c r="W57" s="30">
        <f t="shared" si="19"/>
        <v>2.7</v>
      </c>
      <c r="X57" s="34"/>
      <c r="Y57" s="34" t="s">
        <v>485</v>
      </c>
      <c r="AA57">
        <f t="shared" si="20"/>
        <v>0.39500000000000002</v>
      </c>
      <c r="AB57">
        <f t="shared" si="21"/>
        <v>0.35</v>
      </c>
      <c r="AC57">
        <f t="shared" si="22"/>
        <v>0.45</v>
      </c>
      <c r="AD57">
        <f t="shared" si="23"/>
        <v>0</v>
      </c>
      <c r="AE57">
        <f t="shared" si="24"/>
        <v>0.27500000000000002</v>
      </c>
      <c r="AF57">
        <f t="shared" si="25"/>
        <v>0</v>
      </c>
      <c r="AG57">
        <f t="shared" si="26"/>
        <v>0.8</v>
      </c>
      <c r="AH57">
        <f t="shared" si="27"/>
        <v>0.1</v>
      </c>
      <c r="AI57">
        <f t="shared" si="28"/>
        <v>0</v>
      </c>
      <c r="AJ57">
        <f>IF( $AV57=FALSE,VLOOKUP(Properties!$B$4, Confidentiality_Requirement,3,FALSE),0)</f>
        <v>1.51</v>
      </c>
      <c r="AK57">
        <f>IF( $AV57=FALSE,VLOOKUP(Properties!$B$5, Integrity_Requirement,3,FALSE),0)</f>
        <v>1.51</v>
      </c>
      <c r="AL57">
        <f>IF( $AV57=FALSE,VLOOKUP(Properties!$B$6, Availability_Requirement,3,FALSE),0)</f>
        <v>1.51</v>
      </c>
      <c r="AM57" s="14">
        <f t="shared" si="29"/>
        <v>2.8627500000000001</v>
      </c>
      <c r="AN57" s="14">
        <f t="shared" si="30"/>
        <v>1.2442500000000001</v>
      </c>
      <c r="AO57" s="4">
        <f t="shared" si="31"/>
        <v>1.1759999999999999</v>
      </c>
      <c r="AP57" s="15">
        <f t="shared" si="32"/>
        <v>4.3</v>
      </c>
      <c r="AQ57" s="15">
        <f t="shared" si="33"/>
        <v>1.9</v>
      </c>
      <c r="AR57" s="15">
        <f t="shared" si="34"/>
        <v>1.9</v>
      </c>
      <c r="AS57" s="15">
        <f t="shared" si="35"/>
        <v>2.7</v>
      </c>
      <c r="AT57">
        <f t="shared" si="36"/>
        <v>2.7</v>
      </c>
      <c r="AU57">
        <f t="shared" si="37"/>
        <v>2.7</v>
      </c>
      <c r="AV57" t="b">
        <f>IF(OR(F57="Undefined",H57="Undefined",J57="Undefined",L57="Undefined",N57="Undefined",P57="Undefined",R57="Undefined",T57="Undefined",'Pre-Mitigated VA'!$VA57=TRUE),TRUE, FALSE)</f>
        <v>0</v>
      </c>
      <c r="AW57"/>
      <c r="AX57"/>
      <c r="AY57"/>
      <c r="AZ57"/>
    </row>
    <row r="58" spans="1:52" ht="312" customHeight="1" x14ac:dyDescent="0.25">
      <c r="A58" s="38">
        <f>IF(ISBLANK('Pre-Mitigated VA'!A58),"",'Pre-Mitigated VA'!A58)</f>
        <v>198</v>
      </c>
      <c r="B58" s="26" t="str">
        <f>IF(ISBLANK('Pre-Mitigated VA'!B58),"",'Pre-Mitigated VA'!B58)</f>
        <v>Weak Authentication and/or Authorization Schema</v>
      </c>
      <c r="C58" s="26" t="str">
        <f>IF(ISBLANK('Pre-Mitigated VA'!C58),"",'Pre-Mitigated VA'!C58)</f>
        <v>Embedded Communication out from ZigBee - Elevation of Privileges</v>
      </c>
      <c r="D58" s="26" t="str">
        <f>IF(ISBLANK('Pre-Mitigated VA'!D58),"",'Pre-Mitigated VA'!D58)</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58" s="38" t="str">
        <f>IF(ISBLANK('Pre-Mitigated VA'!E58),"",'Pre-Mitigated VA'!E58)</f>
        <v>No</v>
      </c>
      <c r="F58" s="27" t="s">
        <v>12</v>
      </c>
      <c r="G58" s="27"/>
      <c r="H58" s="27" t="s">
        <v>2</v>
      </c>
      <c r="I58" s="27"/>
      <c r="J58" s="27" t="s">
        <v>55</v>
      </c>
      <c r="K58" s="27"/>
      <c r="L58" s="27" t="s">
        <v>15</v>
      </c>
      <c r="M58" s="27"/>
      <c r="N58" s="27" t="s">
        <v>16</v>
      </c>
      <c r="O58" s="27"/>
      <c r="P58" s="27" t="s">
        <v>15</v>
      </c>
      <c r="Q58" s="27"/>
      <c r="R58" s="31" t="s">
        <v>3</v>
      </c>
      <c r="S58" s="27"/>
      <c r="T58" s="27" t="s">
        <v>15</v>
      </c>
      <c r="U58" s="27"/>
      <c r="V58" s="28">
        <f>'Pre-Mitigated VA'!V58</f>
        <v>5.5</v>
      </c>
      <c r="W58" s="30">
        <f t="shared" si="19"/>
        <v>2.7</v>
      </c>
      <c r="X58" s="34"/>
      <c r="Y58" s="34" t="s">
        <v>503</v>
      </c>
      <c r="AA58">
        <f t="shared" si="20"/>
        <v>0.39500000000000002</v>
      </c>
      <c r="AB58">
        <f t="shared" si="21"/>
        <v>0.35</v>
      </c>
      <c r="AC58">
        <f t="shared" si="22"/>
        <v>0.45</v>
      </c>
      <c r="AD58">
        <f t="shared" si="23"/>
        <v>0</v>
      </c>
      <c r="AE58">
        <f t="shared" si="24"/>
        <v>0.27500000000000002</v>
      </c>
      <c r="AF58">
        <f t="shared" si="25"/>
        <v>0</v>
      </c>
      <c r="AG58">
        <f t="shared" si="26"/>
        <v>0.8</v>
      </c>
      <c r="AH58">
        <f t="shared" si="27"/>
        <v>0.1</v>
      </c>
      <c r="AI58">
        <f t="shared" si="28"/>
        <v>0</v>
      </c>
      <c r="AJ58">
        <f>IF( $AV58=FALSE,VLOOKUP(Properties!$B$4, Confidentiality_Requirement,3,FALSE),0)</f>
        <v>1.51</v>
      </c>
      <c r="AK58">
        <f>IF( $AV58=FALSE,VLOOKUP(Properties!$B$5, Integrity_Requirement,3,FALSE),0)</f>
        <v>1.51</v>
      </c>
      <c r="AL58">
        <f>IF( $AV58=FALSE,VLOOKUP(Properties!$B$6, Availability_Requirement,3,FALSE),0)</f>
        <v>1.51</v>
      </c>
      <c r="AM58" s="14">
        <f t="shared" si="29"/>
        <v>2.8627500000000001</v>
      </c>
      <c r="AN58" s="14">
        <f t="shared" si="30"/>
        <v>1.2442500000000001</v>
      </c>
      <c r="AO58" s="4">
        <f t="shared" si="31"/>
        <v>1.1759999999999999</v>
      </c>
      <c r="AP58" s="15">
        <f t="shared" si="32"/>
        <v>4.3</v>
      </c>
      <c r="AQ58" s="15">
        <f t="shared" si="33"/>
        <v>1.9</v>
      </c>
      <c r="AR58" s="15">
        <f t="shared" si="34"/>
        <v>1.9</v>
      </c>
      <c r="AS58" s="15">
        <f t="shared" si="35"/>
        <v>2.7</v>
      </c>
      <c r="AT58">
        <f t="shared" si="36"/>
        <v>2.7</v>
      </c>
      <c r="AU58">
        <f t="shared" si="37"/>
        <v>2.7</v>
      </c>
      <c r="AV58" t="b">
        <f>IF(OR(F58="Undefined",H58="Undefined",J58="Undefined",L58="Undefined",N58="Undefined",P58="Undefined",R58="Undefined",T58="Undefined",'Pre-Mitigated VA'!$VA58=TRUE),TRUE, FALSE)</f>
        <v>0</v>
      </c>
      <c r="AW58"/>
      <c r="AX58"/>
      <c r="AY58"/>
      <c r="AZ58"/>
    </row>
    <row r="59" spans="1:52" ht="61.05" customHeight="1" x14ac:dyDescent="0.25">
      <c r="A59" s="38">
        <f>IF(ISBLANK('Pre-Mitigated VA'!A59),"",'Pre-Mitigated VA'!A59)</f>
        <v>199</v>
      </c>
      <c r="B59" s="26" t="str">
        <f>IF(ISBLANK('Pre-Mitigated VA'!B59),"",'Pre-Mitigated VA'!B59)</f>
        <v xml:space="preserve">Inject Malicious Executable Code into Program Space on Lock Zigbee Module </v>
      </c>
      <c r="C59" s="26" t="str">
        <f>IF(ISBLANK('Pre-Mitigated VA'!C59),"",'Pre-Mitigated VA'!C59)</f>
        <v>Embedded Communication in to ZigBee - Tampering</v>
      </c>
      <c r="D59" s="26" t="str">
        <f>IF(ISBLANK('Pre-Mitigated VA'!D59),"",'Pre-Mitigated VA'!D59)</f>
        <v>An adversary can inject specific software into program space on Lock Zigbee Module  to be executed on the device to modify or corrupt the device's performance or to expose security secrets, the firmware image or other sensitive information.</v>
      </c>
      <c r="E59" s="38" t="str">
        <f>IF(ISBLANK('Pre-Mitigated VA'!E59),"",'Pre-Mitigated VA'!E59)</f>
        <v>Yes</v>
      </c>
      <c r="F59" s="27" t="s">
        <v>12</v>
      </c>
      <c r="G59" s="27"/>
      <c r="H59" s="27" t="s">
        <v>2</v>
      </c>
      <c r="I59" s="27"/>
      <c r="J59" s="27" t="s">
        <v>55</v>
      </c>
      <c r="K59" s="27"/>
      <c r="L59" s="27" t="s">
        <v>15</v>
      </c>
      <c r="M59" s="27"/>
      <c r="N59" s="27" t="s">
        <v>15</v>
      </c>
      <c r="O59" s="27"/>
      <c r="P59" s="27" t="s">
        <v>16</v>
      </c>
      <c r="Q59" s="27"/>
      <c r="R59" s="31" t="s">
        <v>63</v>
      </c>
      <c r="S59" s="27"/>
      <c r="T59" s="27" t="s">
        <v>15</v>
      </c>
      <c r="U59" s="27"/>
      <c r="V59" s="28">
        <f>'Pre-Mitigated VA'!V59</f>
        <v>8.1</v>
      </c>
      <c r="W59" s="30">
        <f t="shared" si="19"/>
        <v>4.3</v>
      </c>
      <c r="X59" s="34"/>
      <c r="Y59" s="34" t="s">
        <v>486</v>
      </c>
      <c r="AA59">
        <f t="shared" si="20"/>
        <v>0.39500000000000002</v>
      </c>
      <c r="AB59">
        <f t="shared" si="21"/>
        <v>0.35</v>
      </c>
      <c r="AC59">
        <f t="shared" si="22"/>
        <v>0.45</v>
      </c>
      <c r="AD59">
        <f t="shared" si="23"/>
        <v>0</v>
      </c>
      <c r="AE59">
        <f t="shared" si="24"/>
        <v>0</v>
      </c>
      <c r="AF59">
        <f t="shared" si="25"/>
        <v>0.27500000000000002</v>
      </c>
      <c r="AG59">
        <f t="shared" si="26"/>
        <v>0.8</v>
      </c>
      <c r="AH59">
        <f t="shared" si="27"/>
        <v>0.3</v>
      </c>
      <c r="AI59">
        <f t="shared" si="28"/>
        <v>0</v>
      </c>
      <c r="AJ59">
        <f>IF( $AV59=FALSE,VLOOKUP(Properties!$B$4, Confidentiality_Requirement,3,FALSE),0)</f>
        <v>1.51</v>
      </c>
      <c r="AK59">
        <f>IF( $AV59=FALSE,VLOOKUP(Properties!$B$5, Integrity_Requirement,3,FALSE),0)</f>
        <v>1.51</v>
      </c>
      <c r="AL59">
        <f>IF( $AV59=FALSE,VLOOKUP(Properties!$B$6, Availability_Requirement,3,FALSE),0)</f>
        <v>1.51</v>
      </c>
      <c r="AM59" s="14">
        <f t="shared" si="29"/>
        <v>2.8627500000000001</v>
      </c>
      <c r="AN59" s="14">
        <f t="shared" si="30"/>
        <v>1.2442500000000001</v>
      </c>
      <c r="AO59" s="4">
        <f t="shared" si="31"/>
        <v>1.1759999999999999</v>
      </c>
      <c r="AP59" s="15">
        <f t="shared" si="32"/>
        <v>4.3</v>
      </c>
      <c r="AQ59" s="15">
        <f t="shared" si="33"/>
        <v>1.9</v>
      </c>
      <c r="AR59" s="15">
        <f t="shared" si="34"/>
        <v>1.9</v>
      </c>
      <c r="AS59" s="15">
        <f t="shared" si="35"/>
        <v>4.3</v>
      </c>
      <c r="AT59">
        <f t="shared" si="36"/>
        <v>4.3</v>
      </c>
      <c r="AU59">
        <f t="shared" si="37"/>
        <v>4.3</v>
      </c>
      <c r="AV59" t="b">
        <f>IF(OR(F59="Undefined",H59="Undefined",J59="Undefined",L59="Undefined",N59="Undefined",P59="Undefined",R59="Undefined",T59="Undefined",'Pre-Mitigated VA'!$VA59=TRUE),TRUE, FALSE)</f>
        <v>0</v>
      </c>
      <c r="AW59"/>
      <c r="AX59"/>
      <c r="AY59"/>
      <c r="AZ59"/>
    </row>
    <row r="60" spans="1:52" ht="193.95" customHeight="1" x14ac:dyDescent="0.25">
      <c r="A60" s="38">
        <f>IF(ISBLANK('Pre-Mitigated VA'!A60),"",'Pre-Mitigated VA'!A60)</f>
        <v>200</v>
      </c>
      <c r="B60" s="26" t="str">
        <f>IF(ISBLANK('Pre-Mitigated VA'!B60),"",'Pre-Mitigated VA'!B60)</f>
        <v>Tampering with Communicated Data on Embedded Communication in to ZigBee</v>
      </c>
      <c r="C60" s="26" t="str">
        <f>IF(ISBLANK('Pre-Mitigated VA'!C60),"",'Pre-Mitigated VA'!C60)</f>
        <v>Embedded Communication in to ZigBee - Tampering</v>
      </c>
      <c r="D60" s="26" t="str">
        <f>IF(ISBLANK('Pre-Mitigated VA'!D60),"",'Pre-Mitigated VA'!D60)</f>
        <v>An adversary may tamper with communicated data on Embedded Communication in to ZigBee, and if data are not properly verified for integrity prior to accepting or acting upon the data, then the system may behave in an unintended manner.</v>
      </c>
      <c r="E60" s="38" t="str">
        <f>IF(ISBLANK('Pre-Mitigated VA'!E60),"",'Pre-Mitigated VA'!E60)</f>
        <v>Undefined</v>
      </c>
      <c r="F60" s="27" t="s">
        <v>45</v>
      </c>
      <c r="G60" s="27"/>
      <c r="H60" s="27" t="s">
        <v>45</v>
      </c>
      <c r="I60" s="27"/>
      <c r="J60" s="27" t="s">
        <v>45</v>
      </c>
      <c r="K60" s="27"/>
      <c r="L60" s="27" t="s">
        <v>45</v>
      </c>
      <c r="M60" s="27"/>
      <c r="N60" s="27" t="s">
        <v>45</v>
      </c>
      <c r="O60" s="27"/>
      <c r="P60" s="27" t="s">
        <v>45</v>
      </c>
      <c r="Q60" s="27"/>
      <c r="R60" s="31" t="s">
        <v>45</v>
      </c>
      <c r="S60" s="27"/>
      <c r="T60" s="27" t="s">
        <v>15</v>
      </c>
      <c r="U60" s="27"/>
      <c r="V60" s="28" t="str">
        <f>'Pre-Mitigated VA'!V60</f>
        <v>INCOMPLETE</v>
      </c>
      <c r="W60" s="30" t="str">
        <f t="shared" si="19"/>
        <v>INCOMPLETE</v>
      </c>
      <c r="X60" s="34"/>
      <c r="Y60" s="34"/>
      <c r="AA60">
        <f t="shared" si="20"/>
        <v>0</v>
      </c>
      <c r="AB60">
        <f t="shared" si="21"/>
        <v>0</v>
      </c>
      <c r="AC60">
        <f t="shared" si="22"/>
        <v>0</v>
      </c>
      <c r="AD60">
        <f t="shared" si="23"/>
        <v>0</v>
      </c>
      <c r="AE60">
        <f t="shared" si="24"/>
        <v>0</v>
      </c>
      <c r="AF60">
        <f t="shared" si="25"/>
        <v>0</v>
      </c>
      <c r="AG60">
        <f t="shared" si="26"/>
        <v>0</v>
      </c>
      <c r="AH60">
        <f t="shared" si="27"/>
        <v>0</v>
      </c>
      <c r="AI60">
        <f t="shared" si="28"/>
        <v>0</v>
      </c>
      <c r="AJ60">
        <f>IF( $AV60=FALSE,VLOOKUP(Properties!$B$4, Confidentiality_Requirement,3,FALSE),0)</f>
        <v>0</v>
      </c>
      <c r="AK60">
        <f>IF( $AV60=FALSE,VLOOKUP(Properties!$B$5, Integrity_Requirement,3,FALSE),0)</f>
        <v>0</v>
      </c>
      <c r="AL60">
        <f>IF( $AV60=FALSE,VLOOKUP(Properties!$B$6, Availability_Requirement,3,FALSE),0)</f>
        <v>0</v>
      </c>
      <c r="AM60" s="14">
        <f t="shared" si="29"/>
        <v>0</v>
      </c>
      <c r="AN60" s="14">
        <f t="shared" si="30"/>
        <v>0</v>
      </c>
      <c r="AO60" s="4">
        <f t="shared" si="31"/>
        <v>0</v>
      </c>
      <c r="AP60" s="15">
        <f t="shared" si="32"/>
        <v>0</v>
      </c>
      <c r="AQ60" s="15">
        <f t="shared" si="33"/>
        <v>0</v>
      </c>
      <c r="AR60" s="15">
        <f t="shared" si="34"/>
        <v>0</v>
      </c>
      <c r="AS60" s="15">
        <f t="shared" si="35"/>
        <v>0</v>
      </c>
      <c r="AT60">
        <f t="shared" si="36"/>
        <v>0</v>
      </c>
      <c r="AU60">
        <f t="shared" si="37"/>
        <v>0</v>
      </c>
      <c r="AV60" t="b">
        <f>IF(OR(F60="Undefined",H60="Undefined",J60="Undefined",L60="Undefined",N60="Undefined",P60="Undefined",R60="Undefined",T60="Undefined",'Pre-Mitigated VA'!$VA60=TRUE),TRUE, FALSE)</f>
        <v>1</v>
      </c>
      <c r="AW60"/>
      <c r="AX60"/>
      <c r="AY60"/>
      <c r="AZ60"/>
    </row>
    <row r="61" spans="1:52" ht="73.95" customHeight="1" x14ac:dyDescent="0.25">
      <c r="A61" s="38">
        <f>IF(ISBLANK('Pre-Mitigated VA'!A61),"",'Pre-Mitigated VA'!A61)</f>
        <v>201</v>
      </c>
      <c r="B61" s="26" t="str">
        <f>IF(ISBLANK('Pre-Mitigated VA'!B61),"",'Pre-Mitigated VA'!B61)</f>
        <v>Sniffing Communications from Adversary on Embedded Communication in to ZigBee</v>
      </c>
      <c r="C61" s="26" t="str">
        <f>IF(ISBLANK('Pre-Mitigated VA'!C61),"",'Pre-Mitigated VA'!C61)</f>
        <v>Embedded Communication in to ZigBee - Information Disclosure</v>
      </c>
      <c r="D61" s="26" t="str">
        <f>IF(ISBLANK('Pre-Mitigated VA'!D61),"",'Pre-Mitigated VA'!D61)</f>
        <v>An adversary can gain access to sensitive data in an unauthorized manner by sniffing communications on Embedded Communication in to ZigBee due to a lack of data confidentiality protections.</v>
      </c>
      <c r="E61" s="38" t="str">
        <f>IF(ISBLANK('Pre-Mitigated VA'!E61),"",'Pre-Mitigated VA'!E61)</f>
        <v>No</v>
      </c>
      <c r="F61" s="27" t="s">
        <v>12</v>
      </c>
      <c r="G61" s="27"/>
      <c r="H61" s="27" t="s">
        <v>2</v>
      </c>
      <c r="I61" s="27"/>
      <c r="J61" s="27" t="s">
        <v>55</v>
      </c>
      <c r="K61" s="27"/>
      <c r="L61" s="27" t="s">
        <v>15</v>
      </c>
      <c r="M61" s="27"/>
      <c r="N61" s="27" t="s">
        <v>15</v>
      </c>
      <c r="O61" s="27"/>
      <c r="P61" s="27" t="s">
        <v>15</v>
      </c>
      <c r="Q61" s="27"/>
      <c r="R61" s="31" t="s">
        <v>15</v>
      </c>
      <c r="S61" s="27"/>
      <c r="T61" s="27" t="s">
        <v>15</v>
      </c>
      <c r="U61" s="27"/>
      <c r="V61" s="28">
        <f>'Pre-Mitigated VA'!V61</f>
        <v>0</v>
      </c>
      <c r="W61" s="30">
        <f t="shared" si="19"/>
        <v>0</v>
      </c>
      <c r="X61" s="34" t="s">
        <v>495</v>
      </c>
      <c r="Y61" s="34"/>
      <c r="AA61">
        <f t="shared" si="20"/>
        <v>0.39500000000000002</v>
      </c>
      <c r="AB61">
        <f t="shared" si="21"/>
        <v>0.35</v>
      </c>
      <c r="AC61">
        <f t="shared" si="22"/>
        <v>0.45</v>
      </c>
      <c r="AD61">
        <f t="shared" si="23"/>
        <v>0</v>
      </c>
      <c r="AE61">
        <f t="shared" si="24"/>
        <v>0</v>
      </c>
      <c r="AF61">
        <f t="shared" si="25"/>
        <v>0</v>
      </c>
      <c r="AG61">
        <f t="shared" si="26"/>
        <v>0</v>
      </c>
      <c r="AH61">
        <f t="shared" si="27"/>
        <v>0</v>
      </c>
      <c r="AI61">
        <f t="shared" si="28"/>
        <v>0</v>
      </c>
      <c r="AJ61">
        <f>IF( $AV61=FALSE,VLOOKUP(Properties!$B$4, Confidentiality_Requirement,3,FALSE),0)</f>
        <v>1.51</v>
      </c>
      <c r="AK61">
        <f>IF( $AV61=FALSE,VLOOKUP(Properties!$B$5, Integrity_Requirement,3,FALSE),0)</f>
        <v>1.51</v>
      </c>
      <c r="AL61">
        <f>IF( $AV61=FALSE,VLOOKUP(Properties!$B$6, Availability_Requirement,3,FALSE),0)</f>
        <v>1.51</v>
      </c>
      <c r="AM61" s="14">
        <f t="shared" si="29"/>
        <v>0</v>
      </c>
      <c r="AN61" s="14">
        <f t="shared" si="30"/>
        <v>1.2442500000000001</v>
      </c>
      <c r="AO61" s="4">
        <f t="shared" si="31"/>
        <v>0</v>
      </c>
      <c r="AP61" s="15">
        <f t="shared" si="32"/>
        <v>0</v>
      </c>
      <c r="AQ61" s="15">
        <f t="shared" si="33"/>
        <v>0</v>
      </c>
      <c r="AR61" s="15">
        <f t="shared" si="34"/>
        <v>0</v>
      </c>
      <c r="AS61" s="15">
        <f t="shared" si="35"/>
        <v>0</v>
      </c>
      <c r="AT61">
        <f t="shared" si="36"/>
        <v>0</v>
      </c>
      <c r="AU61">
        <f t="shared" si="37"/>
        <v>0</v>
      </c>
      <c r="AV61" t="b">
        <f>IF(OR(F61="Undefined",H61="Undefined",J61="Undefined",L61="Undefined",N61="Undefined",P61="Undefined",R61="Undefined",T61="Undefined",'Pre-Mitigated VA'!$VA61=TRUE),TRUE, FALSE)</f>
        <v>0</v>
      </c>
      <c r="AW61"/>
      <c r="AX61"/>
      <c r="AY61"/>
      <c r="AZ61"/>
    </row>
    <row r="62" spans="1:52" ht="298.95" customHeight="1" x14ac:dyDescent="0.25">
      <c r="A62" s="38">
        <f>IF(ISBLANK('Pre-Mitigated VA'!A62),"",'Pre-Mitigated VA'!A62)</f>
        <v>202</v>
      </c>
      <c r="B62" s="26" t="str">
        <f>IF(ISBLANK('Pre-Mitigated VA'!B62),"",'Pre-Mitigated VA'!B62)</f>
        <v xml:space="preserve">Excessive or Uncontrolled Resource Consumption by Lock Zigbee Module </v>
      </c>
      <c r="C62" s="26" t="str">
        <f>IF(ISBLANK('Pre-Mitigated VA'!C62),"",'Pre-Mitigated VA'!C62)</f>
        <v>Embedded Communication in to ZigBee - Denial of Service</v>
      </c>
      <c r="D62" s="26" t="str">
        <f>IF(ISBLANK('Pre-Mitigated VA'!D62),"",'Pre-Mitigated VA'!D62)</f>
        <v>Resource consumption attacks can be hard to deal with, and there are times that it makes sense to let the operating system/CPU do the job. Be careful that your resource requests do not deadlock or timeout. Does Lock Zigbee Module  take explicit steps to control resource consumption?</v>
      </c>
      <c r="E62" s="38" t="str">
        <f>IF(ISBLANK('Pre-Mitigated VA'!E62),"",'Pre-Mitigated VA'!E62)</f>
        <v>Undefined</v>
      </c>
      <c r="F62" s="27" t="s">
        <v>45</v>
      </c>
      <c r="G62" s="27"/>
      <c r="H62" s="27" t="s">
        <v>45</v>
      </c>
      <c r="I62" s="27"/>
      <c r="J62" s="27" t="s">
        <v>45</v>
      </c>
      <c r="K62" s="27"/>
      <c r="L62" s="27" t="s">
        <v>45</v>
      </c>
      <c r="M62" s="27"/>
      <c r="N62" s="27" t="s">
        <v>45</v>
      </c>
      <c r="O62" s="27"/>
      <c r="P62" s="27" t="s">
        <v>45</v>
      </c>
      <c r="Q62" s="27"/>
      <c r="R62" s="31" t="s">
        <v>45</v>
      </c>
      <c r="S62" s="27"/>
      <c r="T62" s="27" t="s">
        <v>15</v>
      </c>
      <c r="U62" s="27"/>
      <c r="V62" s="28" t="str">
        <f>'Pre-Mitigated VA'!V62</f>
        <v>INCOMPLETE</v>
      </c>
      <c r="W62" s="30" t="str">
        <f t="shared" si="19"/>
        <v>INCOMPLETE</v>
      </c>
      <c r="X62" s="34"/>
      <c r="Y62" s="34"/>
      <c r="AA62">
        <f t="shared" si="20"/>
        <v>0</v>
      </c>
      <c r="AB62">
        <f t="shared" si="21"/>
        <v>0</v>
      </c>
      <c r="AC62">
        <f t="shared" si="22"/>
        <v>0</v>
      </c>
      <c r="AD62">
        <f t="shared" si="23"/>
        <v>0</v>
      </c>
      <c r="AE62">
        <f t="shared" si="24"/>
        <v>0</v>
      </c>
      <c r="AF62">
        <f t="shared" si="25"/>
        <v>0</v>
      </c>
      <c r="AG62">
        <f t="shared" si="26"/>
        <v>0</v>
      </c>
      <c r="AH62">
        <f t="shared" si="27"/>
        <v>0</v>
      </c>
      <c r="AI62">
        <f t="shared" si="28"/>
        <v>0</v>
      </c>
      <c r="AJ62">
        <f>IF( $AV62=FALSE,VLOOKUP(Properties!$B$4, Confidentiality_Requirement,3,FALSE),0)</f>
        <v>0</v>
      </c>
      <c r="AK62">
        <f>IF( $AV62=FALSE,VLOOKUP(Properties!$B$5, Integrity_Requirement,3,FALSE),0)</f>
        <v>0</v>
      </c>
      <c r="AL62">
        <f>IF( $AV62=FALSE,VLOOKUP(Properties!$B$6, Availability_Requirement,3,FALSE),0)</f>
        <v>0</v>
      </c>
      <c r="AM62" s="14">
        <f t="shared" si="29"/>
        <v>0</v>
      </c>
      <c r="AN62" s="14">
        <f t="shared" si="30"/>
        <v>0</v>
      </c>
      <c r="AO62" s="4">
        <f t="shared" si="31"/>
        <v>0</v>
      </c>
      <c r="AP62" s="15">
        <f t="shared" si="32"/>
        <v>0</v>
      </c>
      <c r="AQ62" s="15">
        <f t="shared" si="33"/>
        <v>0</v>
      </c>
      <c r="AR62" s="15">
        <f t="shared" si="34"/>
        <v>0</v>
      </c>
      <c r="AS62" s="15">
        <f t="shared" si="35"/>
        <v>0</v>
      </c>
      <c r="AT62">
        <f t="shared" si="36"/>
        <v>0</v>
      </c>
      <c r="AU62">
        <f t="shared" si="37"/>
        <v>0</v>
      </c>
      <c r="AV62" t="b">
        <f>IF(OR(F62="Undefined",H62="Undefined",J62="Undefined",L62="Undefined",N62="Undefined",P62="Undefined",R62="Undefined",T62="Undefined",'Pre-Mitigated VA'!$VA62=TRUE),TRUE, FALSE)</f>
        <v>1</v>
      </c>
      <c r="AW62"/>
      <c r="AX62"/>
      <c r="AY62"/>
      <c r="AZ62"/>
    </row>
    <row r="63" spans="1:52" ht="61.05" customHeight="1" x14ac:dyDescent="0.25">
      <c r="A63" s="38">
        <f>IF(ISBLANK('Pre-Mitigated VA'!A63),"",'Pre-Mitigated VA'!A63)</f>
        <v>203</v>
      </c>
      <c r="B63" s="26" t="str">
        <f>IF(ISBLANK('Pre-Mitigated VA'!B63),"",'Pre-Mitigated VA'!B63)</f>
        <v>Interuption or Corruption of Data on Embedded Communication in to ZigBee</v>
      </c>
      <c r="C63" s="26" t="str">
        <f>IF(ISBLANK('Pre-Mitigated VA'!C63),"",'Pre-Mitigated VA'!C63)</f>
        <v>Embedded Communication in to ZigBee - Denial of Service</v>
      </c>
      <c r="D63" s="26" t="str">
        <f>IF(ISBLANK('Pre-Mitigated VA'!D63),"",'Pre-Mitigated VA'!D63)</f>
        <v>An external agent interrupts or corrupts data flowing on Embedded Communication in to ZigBee, denying the availability of the communicated data.</v>
      </c>
      <c r="E63" s="38" t="str">
        <f>IF(ISBLANK('Pre-Mitigated VA'!E63),"",'Pre-Mitigated VA'!E63)</f>
        <v>No</v>
      </c>
      <c r="F63" s="27" t="s">
        <v>12</v>
      </c>
      <c r="G63" s="27"/>
      <c r="H63" s="27" t="s">
        <v>2</v>
      </c>
      <c r="I63" s="27"/>
      <c r="J63" s="27" t="s">
        <v>53</v>
      </c>
      <c r="K63" s="27"/>
      <c r="L63" s="27" t="s">
        <v>15</v>
      </c>
      <c r="M63" s="27"/>
      <c r="N63" s="27" t="s">
        <v>15</v>
      </c>
      <c r="O63" s="27"/>
      <c r="P63" s="27" t="s">
        <v>16</v>
      </c>
      <c r="Q63" s="27"/>
      <c r="R63" s="31" t="s">
        <v>3</v>
      </c>
      <c r="S63" s="27"/>
      <c r="T63" s="27" t="s">
        <v>15</v>
      </c>
      <c r="U63" s="27"/>
      <c r="V63" s="28">
        <f>'Pre-Mitigated VA'!V63</f>
        <v>6.2</v>
      </c>
      <c r="W63" s="30">
        <f t="shared" si="19"/>
        <v>2.8</v>
      </c>
      <c r="X63" s="34"/>
      <c r="Y63" s="34" t="s">
        <v>486</v>
      </c>
      <c r="AA63">
        <f t="shared" si="20"/>
        <v>0.39500000000000002</v>
      </c>
      <c r="AB63">
        <f t="shared" si="21"/>
        <v>0.35</v>
      </c>
      <c r="AC63">
        <f t="shared" si="22"/>
        <v>0.56000000000000005</v>
      </c>
      <c r="AD63">
        <f t="shared" si="23"/>
        <v>0</v>
      </c>
      <c r="AE63">
        <f t="shared" si="24"/>
        <v>0</v>
      </c>
      <c r="AF63">
        <f t="shared" si="25"/>
        <v>0.27500000000000002</v>
      </c>
      <c r="AG63">
        <f t="shared" si="26"/>
        <v>1</v>
      </c>
      <c r="AH63">
        <f t="shared" si="27"/>
        <v>0.1</v>
      </c>
      <c r="AI63">
        <f t="shared" si="28"/>
        <v>0</v>
      </c>
      <c r="AJ63">
        <f>IF( $AV63=FALSE,VLOOKUP(Properties!$B$4, Confidentiality_Requirement,3,FALSE),0)</f>
        <v>1.51</v>
      </c>
      <c r="AK63">
        <f>IF( $AV63=FALSE,VLOOKUP(Properties!$B$5, Integrity_Requirement,3,FALSE),0)</f>
        <v>1.51</v>
      </c>
      <c r="AL63">
        <f>IF( $AV63=FALSE,VLOOKUP(Properties!$B$6, Availability_Requirement,3,FALSE),0)</f>
        <v>1.51</v>
      </c>
      <c r="AM63" s="14">
        <f t="shared" si="29"/>
        <v>2.8627500000000001</v>
      </c>
      <c r="AN63" s="14">
        <f t="shared" si="30"/>
        <v>1.5484000000000002</v>
      </c>
      <c r="AO63" s="4">
        <f t="shared" si="31"/>
        <v>1.1759999999999999</v>
      </c>
      <c r="AP63" s="15">
        <f t="shared" si="32"/>
        <v>4.3</v>
      </c>
      <c r="AQ63" s="15">
        <f t="shared" si="33"/>
        <v>2</v>
      </c>
      <c r="AR63" s="15">
        <f t="shared" si="34"/>
        <v>2</v>
      </c>
      <c r="AS63" s="15">
        <f t="shared" si="35"/>
        <v>2.8</v>
      </c>
      <c r="AT63">
        <f t="shared" si="36"/>
        <v>2.8</v>
      </c>
      <c r="AU63">
        <f t="shared" si="37"/>
        <v>2.8</v>
      </c>
      <c r="AV63" t="b">
        <f>IF(OR(F63="Undefined",H63="Undefined",J63="Undefined",L63="Undefined",N63="Undefined",P63="Undefined",R63="Undefined",T63="Undefined",'Pre-Mitigated VA'!$VA63=TRUE),TRUE, FALSE)</f>
        <v>0</v>
      </c>
      <c r="AW63"/>
      <c r="AX63"/>
      <c r="AY63"/>
      <c r="AZ63"/>
    </row>
    <row r="64" spans="1:52" ht="115.05" customHeight="1" x14ac:dyDescent="0.25">
      <c r="A64" s="38">
        <f>IF(ISBLANK('Pre-Mitigated VA'!A64),"",'Pre-Mitigated VA'!A64)</f>
        <v>204</v>
      </c>
      <c r="B64" s="26" t="str">
        <f>IF(ISBLANK('Pre-Mitigated VA'!B64),"",'Pre-Mitigated VA'!B64)</f>
        <v>Unnecessary and Unused Privileged Features or Services</v>
      </c>
      <c r="C64" s="26" t="str">
        <f>IF(ISBLANK('Pre-Mitigated VA'!C64),"",'Pre-Mitigated VA'!C64)</f>
        <v>Embedded Communication in to ZigBee - Elevation of Privileges</v>
      </c>
      <c r="D64" s="26" t="str">
        <f>IF(ISBLANK('Pre-Mitigated VA'!D64),"",'Pre-Mitigated VA'!D64)</f>
        <v>An adversary may utilize unused features or privileged services on Lock Zigbee Module , such as the user interface, USB and other ports, manufacturing features, platform features like camera, microphone or location services, etc. Unused features increase the attack surface and serve as additional entry points for the adversary.</v>
      </c>
      <c r="E64" s="38" t="str">
        <f>IF(ISBLANK('Pre-Mitigated VA'!E64),"",'Pre-Mitigated VA'!E64)</f>
        <v>Undefined</v>
      </c>
      <c r="F64" s="27" t="s">
        <v>45</v>
      </c>
      <c r="G64" s="27"/>
      <c r="H64" s="27" t="s">
        <v>45</v>
      </c>
      <c r="I64" s="27"/>
      <c r="J64" s="27" t="s">
        <v>45</v>
      </c>
      <c r="K64" s="27"/>
      <c r="L64" s="27" t="s">
        <v>45</v>
      </c>
      <c r="M64" s="27"/>
      <c r="N64" s="27" t="s">
        <v>45</v>
      </c>
      <c r="O64" s="27"/>
      <c r="P64" s="27" t="s">
        <v>45</v>
      </c>
      <c r="Q64" s="27"/>
      <c r="R64" s="31" t="s">
        <v>45</v>
      </c>
      <c r="S64" s="27"/>
      <c r="T64" s="27" t="s">
        <v>15</v>
      </c>
      <c r="U64" s="27"/>
      <c r="V64" s="28" t="str">
        <f>'Pre-Mitigated VA'!V64</f>
        <v>INCOMPLETE</v>
      </c>
      <c r="W64" s="30" t="str">
        <f t="shared" si="19"/>
        <v>INCOMPLETE</v>
      </c>
      <c r="X64" s="34"/>
      <c r="Y64" s="34"/>
      <c r="AA64">
        <f t="shared" si="20"/>
        <v>0</v>
      </c>
      <c r="AB64">
        <f t="shared" si="21"/>
        <v>0</v>
      </c>
      <c r="AC64">
        <f t="shared" si="22"/>
        <v>0</v>
      </c>
      <c r="AD64">
        <f t="shared" si="23"/>
        <v>0</v>
      </c>
      <c r="AE64">
        <f t="shared" si="24"/>
        <v>0</v>
      </c>
      <c r="AF64">
        <f t="shared" si="25"/>
        <v>0</v>
      </c>
      <c r="AG64">
        <f t="shared" si="26"/>
        <v>0</v>
      </c>
      <c r="AH64">
        <f t="shared" si="27"/>
        <v>0</v>
      </c>
      <c r="AI64">
        <f t="shared" si="28"/>
        <v>0</v>
      </c>
      <c r="AJ64">
        <f>IF( $AV64=FALSE,VLOOKUP(Properties!$B$4, Confidentiality_Requirement,3,FALSE),0)</f>
        <v>0</v>
      </c>
      <c r="AK64">
        <f>IF( $AV64=FALSE,VLOOKUP(Properties!$B$5, Integrity_Requirement,3,FALSE),0)</f>
        <v>0</v>
      </c>
      <c r="AL64">
        <f>IF( $AV64=FALSE,VLOOKUP(Properties!$B$6, Availability_Requirement,3,FALSE),0)</f>
        <v>0</v>
      </c>
      <c r="AM64" s="14">
        <f t="shared" si="29"/>
        <v>0</v>
      </c>
      <c r="AN64" s="14">
        <f t="shared" si="30"/>
        <v>0</v>
      </c>
      <c r="AO64" s="4">
        <f t="shared" si="31"/>
        <v>0</v>
      </c>
      <c r="AP64" s="15">
        <f t="shared" si="32"/>
        <v>0</v>
      </c>
      <c r="AQ64" s="15">
        <f t="shared" si="33"/>
        <v>0</v>
      </c>
      <c r="AR64" s="15">
        <f t="shared" si="34"/>
        <v>0</v>
      </c>
      <c r="AS64" s="15">
        <f t="shared" si="35"/>
        <v>0</v>
      </c>
      <c r="AT64">
        <f t="shared" si="36"/>
        <v>0</v>
      </c>
      <c r="AU64">
        <f t="shared" si="37"/>
        <v>0</v>
      </c>
      <c r="AV64" t="b">
        <f>IF(OR(F64="Undefined",H64="Undefined",J64="Undefined",L64="Undefined",N64="Undefined",P64="Undefined",R64="Undefined",T64="Undefined",'Pre-Mitigated VA'!$VA64=TRUE),TRUE, FALSE)</f>
        <v>1</v>
      </c>
      <c r="AW64"/>
      <c r="AX64"/>
      <c r="AY64"/>
      <c r="AZ64"/>
    </row>
    <row r="65" spans="1:52" ht="312" customHeight="1" x14ac:dyDescent="0.25">
      <c r="A65" s="38">
        <f>IF(ISBLANK('Pre-Mitigated VA'!A65),"",'Pre-Mitigated VA'!A65)</f>
        <v>205</v>
      </c>
      <c r="B65" s="26" t="str">
        <f>IF(ISBLANK('Pre-Mitigated VA'!B65),"",'Pre-Mitigated VA'!B65)</f>
        <v>Weak Authentication and/or Authorization Schema</v>
      </c>
      <c r="C65" s="26" t="str">
        <f>IF(ISBLANK('Pre-Mitigated VA'!C65),"",'Pre-Mitigated VA'!C65)</f>
        <v>Embedded Communication in to ZigBee - Elevation of Privileges</v>
      </c>
      <c r="D65" s="26" t="str">
        <f>IF(ISBLANK('Pre-Mitigated VA'!D65),"",'Pre-Mitigated VA'!D65)</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65" s="38" t="str">
        <f>IF(ISBLANK('Pre-Mitigated VA'!E65),"",'Pre-Mitigated VA'!E65)</f>
        <v>Yes</v>
      </c>
      <c r="F65" s="27" t="s">
        <v>12</v>
      </c>
      <c r="G65" s="27"/>
      <c r="H65" s="27" t="s">
        <v>2</v>
      </c>
      <c r="I65" s="27"/>
      <c r="J65" s="27" t="s">
        <v>55</v>
      </c>
      <c r="K65" s="27"/>
      <c r="L65" s="27" t="s">
        <v>15</v>
      </c>
      <c r="M65" s="27"/>
      <c r="N65" s="27" t="s">
        <v>15</v>
      </c>
      <c r="O65" s="27"/>
      <c r="P65" s="27" t="s">
        <v>15</v>
      </c>
      <c r="Q65" s="27"/>
      <c r="R65" s="31" t="s">
        <v>63</v>
      </c>
      <c r="S65" s="27"/>
      <c r="T65" s="27" t="s">
        <v>15</v>
      </c>
      <c r="U65" s="27"/>
      <c r="V65" s="28">
        <f>'Pre-Mitigated VA'!V65</f>
        <v>6.6</v>
      </c>
      <c r="W65" s="30">
        <f t="shared" si="19"/>
        <v>3</v>
      </c>
      <c r="X65" s="34"/>
      <c r="Y65" s="34" t="s">
        <v>487</v>
      </c>
      <c r="AA65">
        <f t="shared" si="20"/>
        <v>0.39500000000000002</v>
      </c>
      <c r="AB65">
        <f t="shared" si="21"/>
        <v>0.35</v>
      </c>
      <c r="AC65">
        <f t="shared" si="22"/>
        <v>0.45</v>
      </c>
      <c r="AD65">
        <f t="shared" si="23"/>
        <v>0</v>
      </c>
      <c r="AE65">
        <f t="shared" si="24"/>
        <v>0</v>
      </c>
      <c r="AF65">
        <f t="shared" si="25"/>
        <v>0</v>
      </c>
      <c r="AG65">
        <f t="shared" si="26"/>
        <v>0</v>
      </c>
      <c r="AH65">
        <f t="shared" si="27"/>
        <v>0.3</v>
      </c>
      <c r="AI65">
        <f t="shared" si="28"/>
        <v>0</v>
      </c>
      <c r="AJ65">
        <f>IF( $AV65=FALSE,VLOOKUP(Properties!$B$4, Confidentiality_Requirement,3,FALSE),0)</f>
        <v>1.51</v>
      </c>
      <c r="AK65">
        <f>IF( $AV65=FALSE,VLOOKUP(Properties!$B$5, Integrity_Requirement,3,FALSE),0)</f>
        <v>1.51</v>
      </c>
      <c r="AL65">
        <f>IF( $AV65=FALSE,VLOOKUP(Properties!$B$6, Availability_Requirement,3,FALSE),0)</f>
        <v>1.51</v>
      </c>
      <c r="AM65" s="14">
        <f t="shared" si="29"/>
        <v>0</v>
      </c>
      <c r="AN65" s="14">
        <f t="shared" si="30"/>
        <v>1.2442500000000001</v>
      </c>
      <c r="AO65" s="4">
        <f t="shared" si="31"/>
        <v>0</v>
      </c>
      <c r="AP65" s="15">
        <f t="shared" si="32"/>
        <v>0</v>
      </c>
      <c r="AQ65" s="15">
        <f t="shared" si="33"/>
        <v>0</v>
      </c>
      <c r="AR65" s="15">
        <f t="shared" si="34"/>
        <v>0</v>
      </c>
      <c r="AS65" s="15">
        <f t="shared" si="35"/>
        <v>3</v>
      </c>
      <c r="AT65">
        <f t="shared" si="36"/>
        <v>3</v>
      </c>
      <c r="AU65">
        <f t="shared" si="37"/>
        <v>3</v>
      </c>
      <c r="AV65" t="b">
        <f>IF(OR(F65="Undefined",H65="Undefined",J65="Undefined",L65="Undefined",N65="Undefined",P65="Undefined",R65="Undefined",T65="Undefined",'Pre-Mitigated VA'!$VA65=TRUE),TRUE, FALSE)</f>
        <v>0</v>
      </c>
      <c r="AW65"/>
      <c r="AX65"/>
      <c r="AY65"/>
      <c r="AZ65"/>
    </row>
    <row r="66" spans="1:52" ht="141" customHeight="1" x14ac:dyDescent="0.25">
      <c r="A66" s="38">
        <f>IF(ISBLANK('Pre-Mitigated VA'!A66),"",'Pre-Mitigated VA'!A66)</f>
        <v>206</v>
      </c>
      <c r="B66" s="26" t="str">
        <f>IF(ISBLANK('Pre-Mitigated VA'!B66),"",'Pre-Mitigated VA'!B66)</f>
        <v>Misrepresentation of Critical Information on User Interface</v>
      </c>
      <c r="C66" s="26" t="str">
        <f>IF(ISBLANK('Pre-Mitigated VA'!C66),"",'Pre-Mitigated VA'!C66)</f>
        <v>Lock Output out to User - Tampering</v>
      </c>
      <c r="D66" s="26" t="str">
        <f>IF(ISBLANK('Pre-Mitigated VA'!D66),"",'Pre-Mitigated VA'!D66)</f>
        <v>An adversary can cause the User Interface on Lock to misrepresent information to the user, which can influence the user to perform erroneous actions or fail to notify the user with important information.</v>
      </c>
      <c r="E66" s="38" t="str">
        <f>IF(ISBLANK('Pre-Mitigated VA'!E66),"",'Pre-Mitigated VA'!E66)</f>
        <v>No</v>
      </c>
      <c r="F66" s="27" t="s">
        <v>12</v>
      </c>
      <c r="G66" s="27"/>
      <c r="H66" s="27" t="s">
        <v>2</v>
      </c>
      <c r="I66" s="27"/>
      <c r="J66" s="27" t="s">
        <v>55</v>
      </c>
      <c r="K66" s="27"/>
      <c r="L66" s="27" t="s">
        <v>15</v>
      </c>
      <c r="M66" s="27"/>
      <c r="N66" s="27" t="s">
        <v>16</v>
      </c>
      <c r="O66" s="27"/>
      <c r="P66" s="27" t="s">
        <v>15</v>
      </c>
      <c r="Q66" s="27"/>
      <c r="R66" s="31" t="s">
        <v>3</v>
      </c>
      <c r="S66" s="27"/>
      <c r="T66" s="27" t="s">
        <v>15</v>
      </c>
      <c r="U66" s="27"/>
      <c r="V66" s="28">
        <f>'Pre-Mitigated VA'!V66</f>
        <v>8.3000000000000007</v>
      </c>
      <c r="W66" s="30">
        <f t="shared" si="19"/>
        <v>2.7</v>
      </c>
      <c r="X66" s="34"/>
      <c r="Y66" s="34" t="s">
        <v>504</v>
      </c>
      <c r="AA66">
        <f t="shared" si="20"/>
        <v>0.39500000000000002</v>
      </c>
      <c r="AB66">
        <f t="shared" si="21"/>
        <v>0.35</v>
      </c>
      <c r="AC66">
        <f t="shared" si="22"/>
        <v>0.45</v>
      </c>
      <c r="AD66">
        <f t="shared" si="23"/>
        <v>0</v>
      </c>
      <c r="AE66">
        <f t="shared" si="24"/>
        <v>0.27500000000000002</v>
      </c>
      <c r="AF66">
        <f t="shared" si="25"/>
        <v>0</v>
      </c>
      <c r="AG66">
        <f t="shared" si="26"/>
        <v>0.8</v>
      </c>
      <c r="AH66">
        <f t="shared" si="27"/>
        <v>0.1</v>
      </c>
      <c r="AI66">
        <f t="shared" si="28"/>
        <v>0</v>
      </c>
      <c r="AJ66">
        <f>IF( $AV66=FALSE,VLOOKUP(Properties!$B$4, Confidentiality_Requirement,3,FALSE),0)</f>
        <v>1.51</v>
      </c>
      <c r="AK66">
        <f>IF( $AV66=FALSE,VLOOKUP(Properties!$B$5, Integrity_Requirement,3,FALSE),0)</f>
        <v>1.51</v>
      </c>
      <c r="AL66">
        <f>IF( $AV66=FALSE,VLOOKUP(Properties!$B$6, Availability_Requirement,3,FALSE),0)</f>
        <v>1.51</v>
      </c>
      <c r="AM66" s="14">
        <f t="shared" si="29"/>
        <v>2.8627500000000001</v>
      </c>
      <c r="AN66" s="14">
        <f t="shared" si="30"/>
        <v>1.2442500000000001</v>
      </c>
      <c r="AO66" s="4">
        <f t="shared" si="31"/>
        <v>1.1759999999999999</v>
      </c>
      <c r="AP66" s="15">
        <f t="shared" si="32"/>
        <v>4.3</v>
      </c>
      <c r="AQ66" s="15">
        <f t="shared" si="33"/>
        <v>1.9</v>
      </c>
      <c r="AR66" s="15">
        <f t="shared" si="34"/>
        <v>1.9</v>
      </c>
      <c r="AS66" s="15">
        <f t="shared" si="35"/>
        <v>2.7</v>
      </c>
      <c r="AT66">
        <f t="shared" si="36"/>
        <v>2.7</v>
      </c>
      <c r="AU66">
        <f t="shared" si="37"/>
        <v>2.7</v>
      </c>
      <c r="AV66" t="b">
        <f>IF(OR(F66="Undefined",H66="Undefined",J66="Undefined",L66="Undefined",N66="Undefined",P66="Undefined",R66="Undefined",T66="Undefined",'Pre-Mitigated VA'!$VA66=TRUE),TRUE, FALSE)</f>
        <v>0</v>
      </c>
      <c r="AW66"/>
      <c r="AX66"/>
      <c r="AY66"/>
      <c r="AZ66"/>
    </row>
  </sheetData>
  <mergeCells count="17">
    <mergeCell ref="A1:E1"/>
    <mergeCell ref="W4:W5"/>
    <mergeCell ref="A2:E3"/>
    <mergeCell ref="A4:A5"/>
    <mergeCell ref="B4:B5"/>
    <mergeCell ref="C4:C5"/>
    <mergeCell ref="D4:D5"/>
    <mergeCell ref="E4:E5"/>
    <mergeCell ref="V4:V5"/>
    <mergeCell ref="F1:Y1"/>
    <mergeCell ref="Y4:Y5"/>
    <mergeCell ref="T4:T5"/>
    <mergeCell ref="F4:J4"/>
    <mergeCell ref="L4:P4"/>
    <mergeCell ref="F2:W3"/>
    <mergeCell ref="X2:Y3"/>
    <mergeCell ref="X4:X5"/>
  </mergeCells>
  <conditionalFormatting sqref="V6">
    <cfRule type="cellIs" dxfId="374" priority="361" operator="equal">
      <formula>"""INCOMPLETE"""</formula>
    </cfRule>
    <cfRule type="cellIs" dxfId="373" priority="365" operator="lessThan">
      <formula>4</formula>
    </cfRule>
    <cfRule type="cellIs" dxfId="372" priority="366" operator="greaterThanOrEqual">
      <formula>4</formula>
    </cfRule>
  </conditionalFormatting>
  <conditionalFormatting sqref="W6">
    <cfRule type="cellIs" dxfId="371" priority="362" operator="equal">
      <formula>"INCOMPLETE"</formula>
    </cfRule>
    <cfRule type="cellIs" dxfId="370" priority="363" operator="lessThan">
      <formula>4</formula>
    </cfRule>
    <cfRule type="cellIs" dxfId="369" priority="364" operator="greaterThanOrEqual">
      <formula>4</formula>
    </cfRule>
  </conditionalFormatting>
  <conditionalFormatting sqref="V7">
    <cfRule type="cellIs" dxfId="368" priority="355" operator="equal">
      <formula>"""INCOMPLETE"""</formula>
    </cfRule>
    <cfRule type="cellIs" dxfId="367" priority="359" operator="lessThan">
      <formula>4</formula>
    </cfRule>
    <cfRule type="cellIs" dxfId="366" priority="360" operator="greaterThanOrEqual">
      <formula>4</formula>
    </cfRule>
  </conditionalFormatting>
  <conditionalFormatting sqref="W7">
    <cfRule type="cellIs" dxfId="365" priority="356" operator="equal">
      <formula>"INCOMPLETE"</formula>
    </cfRule>
    <cfRule type="cellIs" dxfId="364" priority="357" operator="lessThan">
      <formula>4</formula>
    </cfRule>
    <cfRule type="cellIs" dxfId="363" priority="358" operator="greaterThanOrEqual">
      <formula>4</formula>
    </cfRule>
  </conditionalFormatting>
  <conditionalFormatting sqref="V8">
    <cfRule type="cellIs" dxfId="362" priority="349" operator="equal">
      <formula>"""INCOMPLETE"""</formula>
    </cfRule>
    <cfRule type="cellIs" dxfId="361" priority="353" operator="lessThan">
      <formula>4</formula>
    </cfRule>
    <cfRule type="cellIs" dxfId="360" priority="354" operator="greaterThanOrEqual">
      <formula>4</formula>
    </cfRule>
  </conditionalFormatting>
  <conditionalFormatting sqref="W8">
    <cfRule type="cellIs" dxfId="359" priority="350" operator="equal">
      <formula>"INCOMPLETE"</formula>
    </cfRule>
    <cfRule type="cellIs" dxfId="358" priority="351" operator="lessThan">
      <formula>4</formula>
    </cfRule>
    <cfRule type="cellIs" dxfId="357" priority="352" operator="greaterThanOrEqual">
      <formula>4</formula>
    </cfRule>
  </conditionalFormatting>
  <conditionalFormatting sqref="V9">
    <cfRule type="cellIs" dxfId="356" priority="343" operator="equal">
      <formula>"""INCOMPLETE"""</formula>
    </cfRule>
    <cfRule type="cellIs" dxfId="355" priority="347" operator="lessThan">
      <formula>4</formula>
    </cfRule>
    <cfRule type="cellIs" dxfId="354" priority="348" operator="greaterThanOrEqual">
      <formula>4</formula>
    </cfRule>
  </conditionalFormatting>
  <conditionalFormatting sqref="W9">
    <cfRule type="cellIs" dxfId="353" priority="344" operator="equal">
      <formula>"INCOMPLETE"</formula>
    </cfRule>
    <cfRule type="cellIs" dxfId="352" priority="345" operator="lessThan">
      <formula>4</formula>
    </cfRule>
    <cfRule type="cellIs" dxfId="351" priority="346" operator="greaterThanOrEqual">
      <formula>4</formula>
    </cfRule>
  </conditionalFormatting>
  <conditionalFormatting sqref="V10">
    <cfRule type="cellIs" dxfId="350" priority="337" operator="equal">
      <formula>"""INCOMPLETE"""</formula>
    </cfRule>
    <cfRule type="cellIs" dxfId="349" priority="341" operator="lessThan">
      <formula>4</formula>
    </cfRule>
    <cfRule type="cellIs" dxfId="348" priority="342" operator="greaterThanOrEqual">
      <formula>4</formula>
    </cfRule>
  </conditionalFormatting>
  <conditionalFormatting sqref="W10">
    <cfRule type="cellIs" dxfId="347" priority="338" operator="equal">
      <formula>"INCOMPLETE"</formula>
    </cfRule>
    <cfRule type="cellIs" dxfId="346" priority="339" operator="lessThan">
      <formula>4</formula>
    </cfRule>
    <cfRule type="cellIs" dxfId="345" priority="340" operator="greaterThanOrEqual">
      <formula>4</formula>
    </cfRule>
  </conditionalFormatting>
  <conditionalFormatting sqref="V11">
    <cfRule type="cellIs" dxfId="344" priority="331" operator="equal">
      <formula>"""INCOMPLETE"""</formula>
    </cfRule>
    <cfRule type="cellIs" dxfId="343" priority="335" operator="lessThan">
      <formula>4</formula>
    </cfRule>
    <cfRule type="cellIs" dxfId="342" priority="336" operator="greaterThanOrEqual">
      <formula>4</formula>
    </cfRule>
  </conditionalFormatting>
  <conditionalFormatting sqref="W11">
    <cfRule type="cellIs" dxfId="341" priority="332" operator="equal">
      <formula>"INCOMPLETE"</formula>
    </cfRule>
    <cfRule type="cellIs" dxfId="340" priority="333" operator="lessThan">
      <formula>4</formula>
    </cfRule>
    <cfRule type="cellIs" dxfId="339" priority="334" operator="greaterThanOrEqual">
      <formula>4</formula>
    </cfRule>
  </conditionalFormatting>
  <conditionalFormatting sqref="V12">
    <cfRule type="cellIs" dxfId="338" priority="325" operator="equal">
      <formula>"""INCOMPLETE"""</formula>
    </cfRule>
    <cfRule type="cellIs" dxfId="337" priority="329" operator="lessThan">
      <formula>4</formula>
    </cfRule>
    <cfRule type="cellIs" dxfId="336" priority="330" operator="greaterThanOrEqual">
      <formula>4</formula>
    </cfRule>
  </conditionalFormatting>
  <conditionalFormatting sqref="W12">
    <cfRule type="cellIs" dxfId="335" priority="326" operator="equal">
      <formula>"INCOMPLETE"</formula>
    </cfRule>
    <cfRule type="cellIs" dxfId="334" priority="327" operator="lessThan">
      <formula>4</formula>
    </cfRule>
    <cfRule type="cellIs" dxfId="333" priority="328" operator="greaterThanOrEqual">
      <formula>4</formula>
    </cfRule>
  </conditionalFormatting>
  <conditionalFormatting sqref="V13">
    <cfRule type="cellIs" dxfId="332" priority="319" operator="equal">
      <formula>"""INCOMPLETE"""</formula>
    </cfRule>
    <cfRule type="cellIs" dxfId="331" priority="323" operator="lessThan">
      <formula>4</formula>
    </cfRule>
    <cfRule type="cellIs" dxfId="330" priority="324" operator="greaterThanOrEqual">
      <formula>4</formula>
    </cfRule>
  </conditionalFormatting>
  <conditionalFormatting sqref="W13">
    <cfRule type="cellIs" dxfId="329" priority="320" operator="equal">
      <formula>"INCOMPLETE"</formula>
    </cfRule>
    <cfRule type="cellIs" dxfId="328" priority="321" operator="lessThan">
      <formula>4</formula>
    </cfRule>
    <cfRule type="cellIs" dxfId="327" priority="322" operator="greaterThanOrEqual">
      <formula>4</formula>
    </cfRule>
  </conditionalFormatting>
  <conditionalFormatting sqref="V14">
    <cfRule type="cellIs" dxfId="326" priority="313" operator="equal">
      <formula>"""INCOMPLETE"""</formula>
    </cfRule>
    <cfRule type="cellIs" dxfId="325" priority="317" operator="lessThan">
      <formula>4</formula>
    </cfRule>
    <cfRule type="cellIs" dxfId="324" priority="318" operator="greaterThanOrEqual">
      <formula>4</formula>
    </cfRule>
  </conditionalFormatting>
  <conditionalFormatting sqref="W14">
    <cfRule type="cellIs" dxfId="323" priority="314" operator="equal">
      <formula>"INCOMPLETE"</formula>
    </cfRule>
    <cfRule type="cellIs" dxfId="322" priority="315" operator="lessThan">
      <formula>4</formula>
    </cfRule>
    <cfRule type="cellIs" dxfId="321" priority="316" operator="greaterThanOrEqual">
      <formula>4</formula>
    </cfRule>
  </conditionalFormatting>
  <conditionalFormatting sqref="V15">
    <cfRule type="cellIs" dxfId="320" priority="307" operator="equal">
      <formula>"""INCOMPLETE"""</formula>
    </cfRule>
    <cfRule type="cellIs" dxfId="319" priority="311" operator="lessThan">
      <formula>4</formula>
    </cfRule>
    <cfRule type="cellIs" dxfId="318" priority="312" operator="greaterThanOrEqual">
      <formula>4</formula>
    </cfRule>
  </conditionalFormatting>
  <conditionalFormatting sqref="W15">
    <cfRule type="cellIs" dxfId="317" priority="308" operator="equal">
      <formula>"INCOMPLETE"</formula>
    </cfRule>
    <cfRule type="cellIs" dxfId="316" priority="309" operator="lessThan">
      <formula>4</formula>
    </cfRule>
    <cfRule type="cellIs" dxfId="315" priority="310" operator="greaterThanOrEqual">
      <formula>4</formula>
    </cfRule>
  </conditionalFormatting>
  <conditionalFormatting sqref="V16">
    <cfRule type="cellIs" dxfId="314" priority="301" operator="equal">
      <formula>"""INCOMPLETE"""</formula>
    </cfRule>
    <cfRule type="cellIs" dxfId="313" priority="305" operator="lessThan">
      <formula>4</formula>
    </cfRule>
    <cfRule type="cellIs" dxfId="312" priority="306" operator="greaterThanOrEqual">
      <formula>4</formula>
    </cfRule>
  </conditionalFormatting>
  <conditionalFormatting sqref="W16">
    <cfRule type="cellIs" dxfId="311" priority="302" operator="equal">
      <formula>"INCOMPLETE"</formula>
    </cfRule>
    <cfRule type="cellIs" dxfId="310" priority="303" operator="lessThan">
      <formula>4</formula>
    </cfRule>
    <cfRule type="cellIs" dxfId="309" priority="304" operator="greaterThanOrEqual">
      <formula>4</formula>
    </cfRule>
  </conditionalFormatting>
  <conditionalFormatting sqref="V17">
    <cfRule type="cellIs" dxfId="308" priority="295" operator="equal">
      <formula>"""INCOMPLETE"""</formula>
    </cfRule>
    <cfRule type="cellIs" dxfId="307" priority="299" operator="lessThan">
      <formula>4</formula>
    </cfRule>
    <cfRule type="cellIs" dxfId="306" priority="300" operator="greaterThanOrEqual">
      <formula>4</formula>
    </cfRule>
  </conditionalFormatting>
  <conditionalFormatting sqref="W17">
    <cfRule type="cellIs" dxfId="305" priority="296" operator="equal">
      <formula>"INCOMPLETE"</formula>
    </cfRule>
    <cfRule type="cellIs" dxfId="304" priority="297" operator="lessThan">
      <formula>4</formula>
    </cfRule>
    <cfRule type="cellIs" dxfId="303" priority="298" operator="greaterThanOrEqual">
      <formula>4</formula>
    </cfRule>
  </conditionalFormatting>
  <conditionalFormatting sqref="V18">
    <cfRule type="cellIs" dxfId="302" priority="289" operator="equal">
      <formula>"""INCOMPLETE"""</formula>
    </cfRule>
    <cfRule type="cellIs" dxfId="301" priority="293" operator="lessThan">
      <formula>4</formula>
    </cfRule>
    <cfRule type="cellIs" dxfId="300" priority="294" operator="greaterThanOrEqual">
      <formula>4</formula>
    </cfRule>
  </conditionalFormatting>
  <conditionalFormatting sqref="W18">
    <cfRule type="cellIs" dxfId="299" priority="290" operator="equal">
      <formula>"INCOMPLETE"</formula>
    </cfRule>
    <cfRule type="cellIs" dxfId="298" priority="291" operator="lessThan">
      <formula>4</formula>
    </cfRule>
    <cfRule type="cellIs" dxfId="297" priority="292" operator="greaterThanOrEqual">
      <formula>4</formula>
    </cfRule>
  </conditionalFormatting>
  <conditionalFormatting sqref="V19">
    <cfRule type="cellIs" dxfId="296" priority="283" operator="equal">
      <formula>"""INCOMPLETE"""</formula>
    </cfRule>
    <cfRule type="cellIs" dxfId="295" priority="287" operator="lessThan">
      <formula>4</formula>
    </cfRule>
    <cfRule type="cellIs" dxfId="294" priority="288" operator="greaterThanOrEqual">
      <formula>4</formula>
    </cfRule>
  </conditionalFormatting>
  <conditionalFormatting sqref="W19">
    <cfRule type="cellIs" dxfId="293" priority="284" operator="equal">
      <formula>"INCOMPLETE"</formula>
    </cfRule>
    <cfRule type="cellIs" dxfId="292" priority="285" operator="lessThan">
      <formula>4</formula>
    </cfRule>
    <cfRule type="cellIs" dxfId="291" priority="286" operator="greaterThanOrEqual">
      <formula>4</formula>
    </cfRule>
  </conditionalFormatting>
  <conditionalFormatting sqref="V20">
    <cfRule type="cellIs" dxfId="290" priority="277" operator="equal">
      <formula>"""INCOMPLETE"""</formula>
    </cfRule>
    <cfRule type="cellIs" dxfId="289" priority="281" operator="lessThan">
      <formula>4</formula>
    </cfRule>
    <cfRule type="cellIs" dxfId="288" priority="282" operator="greaterThanOrEqual">
      <formula>4</formula>
    </cfRule>
  </conditionalFormatting>
  <conditionalFormatting sqref="W20">
    <cfRule type="cellIs" dxfId="287" priority="278" operator="equal">
      <formula>"INCOMPLETE"</formula>
    </cfRule>
    <cfRule type="cellIs" dxfId="286" priority="279" operator="lessThan">
      <formula>4</formula>
    </cfRule>
    <cfRule type="cellIs" dxfId="285" priority="280" operator="greaterThanOrEqual">
      <formula>4</formula>
    </cfRule>
  </conditionalFormatting>
  <conditionalFormatting sqref="V21">
    <cfRule type="cellIs" dxfId="284" priority="271" operator="equal">
      <formula>"""INCOMPLETE"""</formula>
    </cfRule>
    <cfRule type="cellIs" dxfId="283" priority="275" operator="lessThan">
      <formula>4</formula>
    </cfRule>
    <cfRule type="cellIs" dxfId="282" priority="276" operator="greaterThanOrEqual">
      <formula>4</formula>
    </cfRule>
  </conditionalFormatting>
  <conditionalFormatting sqref="W21">
    <cfRule type="cellIs" dxfId="281" priority="272" operator="equal">
      <formula>"INCOMPLETE"</formula>
    </cfRule>
    <cfRule type="cellIs" dxfId="280" priority="273" operator="lessThan">
      <formula>4</formula>
    </cfRule>
    <cfRule type="cellIs" dxfId="279" priority="274" operator="greaterThanOrEqual">
      <formula>4</formula>
    </cfRule>
  </conditionalFormatting>
  <conditionalFormatting sqref="V22">
    <cfRule type="cellIs" dxfId="278" priority="265" operator="equal">
      <formula>"""INCOMPLETE"""</formula>
    </cfRule>
    <cfRule type="cellIs" dxfId="277" priority="269" operator="lessThan">
      <formula>4</formula>
    </cfRule>
    <cfRule type="cellIs" dxfId="276" priority="270" operator="greaterThanOrEqual">
      <formula>4</formula>
    </cfRule>
  </conditionalFormatting>
  <conditionalFormatting sqref="W22">
    <cfRule type="cellIs" dxfId="275" priority="266" operator="equal">
      <formula>"INCOMPLETE"</formula>
    </cfRule>
    <cfRule type="cellIs" dxfId="274" priority="267" operator="lessThan">
      <formula>4</formula>
    </cfRule>
    <cfRule type="cellIs" dxfId="273" priority="268" operator="greaterThanOrEqual">
      <formula>4</formula>
    </cfRule>
  </conditionalFormatting>
  <conditionalFormatting sqref="V23">
    <cfRule type="cellIs" dxfId="272" priority="259" operator="equal">
      <formula>"""INCOMPLETE"""</formula>
    </cfRule>
    <cfRule type="cellIs" dxfId="271" priority="263" operator="lessThan">
      <formula>4</formula>
    </cfRule>
    <cfRule type="cellIs" dxfId="270" priority="264" operator="greaterThanOrEqual">
      <formula>4</formula>
    </cfRule>
  </conditionalFormatting>
  <conditionalFormatting sqref="W23">
    <cfRule type="cellIs" dxfId="269" priority="260" operator="equal">
      <formula>"INCOMPLETE"</formula>
    </cfRule>
    <cfRule type="cellIs" dxfId="268" priority="261" operator="lessThan">
      <formula>4</formula>
    </cfRule>
    <cfRule type="cellIs" dxfId="267" priority="262" operator="greaterThanOrEqual">
      <formula>4</formula>
    </cfRule>
  </conditionalFormatting>
  <conditionalFormatting sqref="V24">
    <cfRule type="cellIs" dxfId="266" priority="253" operator="equal">
      <formula>"""INCOMPLETE"""</formula>
    </cfRule>
    <cfRule type="cellIs" dxfId="265" priority="257" operator="lessThan">
      <formula>4</formula>
    </cfRule>
    <cfRule type="cellIs" dxfId="264" priority="258" operator="greaterThanOrEqual">
      <formula>4</formula>
    </cfRule>
  </conditionalFormatting>
  <conditionalFormatting sqref="W24">
    <cfRule type="cellIs" dxfId="263" priority="254" operator="equal">
      <formula>"INCOMPLETE"</formula>
    </cfRule>
    <cfRule type="cellIs" dxfId="262" priority="255" operator="lessThan">
      <formula>4</formula>
    </cfRule>
    <cfRule type="cellIs" dxfId="261" priority="256" operator="greaterThanOrEqual">
      <formula>4</formula>
    </cfRule>
  </conditionalFormatting>
  <conditionalFormatting sqref="V25">
    <cfRule type="cellIs" dxfId="260" priority="247" operator="equal">
      <formula>"""INCOMPLETE"""</formula>
    </cfRule>
    <cfRule type="cellIs" dxfId="259" priority="251" operator="lessThan">
      <formula>4</formula>
    </cfRule>
    <cfRule type="cellIs" dxfId="258" priority="252" operator="greaterThanOrEqual">
      <formula>4</formula>
    </cfRule>
  </conditionalFormatting>
  <conditionalFormatting sqref="W25">
    <cfRule type="cellIs" dxfId="257" priority="248" operator="equal">
      <formula>"INCOMPLETE"</formula>
    </cfRule>
    <cfRule type="cellIs" dxfId="256" priority="249" operator="lessThan">
      <formula>4</formula>
    </cfRule>
    <cfRule type="cellIs" dxfId="255" priority="250" operator="greaterThanOrEqual">
      <formula>4</formula>
    </cfRule>
  </conditionalFormatting>
  <conditionalFormatting sqref="V26">
    <cfRule type="cellIs" dxfId="254" priority="241" operator="equal">
      <formula>"""INCOMPLETE"""</formula>
    </cfRule>
    <cfRule type="cellIs" dxfId="253" priority="245" operator="lessThan">
      <formula>4</formula>
    </cfRule>
    <cfRule type="cellIs" dxfId="252" priority="246" operator="greaterThanOrEqual">
      <formula>4</formula>
    </cfRule>
  </conditionalFormatting>
  <conditionalFormatting sqref="W26">
    <cfRule type="cellIs" dxfId="251" priority="242" operator="equal">
      <formula>"INCOMPLETE"</formula>
    </cfRule>
    <cfRule type="cellIs" dxfId="250" priority="243" operator="lessThan">
      <formula>4</formula>
    </cfRule>
    <cfRule type="cellIs" dxfId="249" priority="244" operator="greaterThanOrEqual">
      <formula>4</formula>
    </cfRule>
  </conditionalFormatting>
  <conditionalFormatting sqref="V27">
    <cfRule type="cellIs" dxfId="248" priority="235" operator="equal">
      <formula>"""INCOMPLETE"""</formula>
    </cfRule>
    <cfRule type="cellIs" dxfId="247" priority="239" operator="lessThan">
      <formula>4</formula>
    </cfRule>
    <cfRule type="cellIs" dxfId="246" priority="240" operator="greaterThanOrEqual">
      <formula>4</formula>
    </cfRule>
  </conditionalFormatting>
  <conditionalFormatting sqref="W27">
    <cfRule type="cellIs" dxfId="245" priority="236" operator="equal">
      <formula>"INCOMPLETE"</formula>
    </cfRule>
    <cfRule type="cellIs" dxfId="244" priority="237" operator="lessThan">
      <formula>4</formula>
    </cfRule>
    <cfRule type="cellIs" dxfId="243" priority="238" operator="greaterThanOrEqual">
      <formula>4</formula>
    </cfRule>
  </conditionalFormatting>
  <conditionalFormatting sqref="V28">
    <cfRule type="cellIs" dxfId="242" priority="229" operator="equal">
      <formula>"""INCOMPLETE"""</formula>
    </cfRule>
    <cfRule type="cellIs" dxfId="241" priority="233" operator="lessThan">
      <formula>4</formula>
    </cfRule>
    <cfRule type="cellIs" dxfId="240" priority="234" operator="greaterThanOrEqual">
      <formula>4</formula>
    </cfRule>
  </conditionalFormatting>
  <conditionalFormatting sqref="W28">
    <cfRule type="cellIs" dxfId="239" priority="230" operator="equal">
      <formula>"INCOMPLETE"</formula>
    </cfRule>
    <cfRule type="cellIs" dxfId="238" priority="231" operator="lessThan">
      <formula>4</formula>
    </cfRule>
    <cfRule type="cellIs" dxfId="237" priority="232" operator="greaterThanOrEqual">
      <formula>4</formula>
    </cfRule>
  </conditionalFormatting>
  <conditionalFormatting sqref="V29">
    <cfRule type="cellIs" dxfId="236" priority="223" operator="equal">
      <formula>"""INCOMPLETE"""</formula>
    </cfRule>
    <cfRule type="cellIs" dxfId="235" priority="227" operator="lessThan">
      <formula>4</formula>
    </cfRule>
    <cfRule type="cellIs" dxfId="234" priority="228" operator="greaterThanOrEqual">
      <formula>4</formula>
    </cfRule>
  </conditionalFormatting>
  <conditionalFormatting sqref="W29">
    <cfRule type="cellIs" dxfId="233" priority="224" operator="equal">
      <formula>"INCOMPLETE"</formula>
    </cfRule>
    <cfRule type="cellIs" dxfId="232" priority="225" operator="lessThan">
      <formula>4</formula>
    </cfRule>
    <cfRule type="cellIs" dxfId="231" priority="226" operator="greaterThanOrEqual">
      <formula>4</formula>
    </cfRule>
  </conditionalFormatting>
  <conditionalFormatting sqref="V30">
    <cfRule type="cellIs" dxfId="230" priority="217" operator="equal">
      <formula>"""INCOMPLETE"""</formula>
    </cfRule>
    <cfRule type="cellIs" dxfId="229" priority="221" operator="lessThan">
      <formula>4</formula>
    </cfRule>
    <cfRule type="cellIs" dxfId="228" priority="222" operator="greaterThanOrEqual">
      <formula>4</formula>
    </cfRule>
  </conditionalFormatting>
  <conditionalFormatting sqref="W30">
    <cfRule type="cellIs" dxfId="227" priority="218" operator="equal">
      <formula>"INCOMPLETE"</formula>
    </cfRule>
    <cfRule type="cellIs" dxfId="226" priority="219" operator="lessThan">
      <formula>4</formula>
    </cfRule>
    <cfRule type="cellIs" dxfId="225" priority="220" operator="greaterThanOrEqual">
      <formula>4</formula>
    </cfRule>
  </conditionalFormatting>
  <conditionalFormatting sqref="V31">
    <cfRule type="cellIs" dxfId="224" priority="211" operator="equal">
      <formula>"""INCOMPLETE"""</formula>
    </cfRule>
    <cfRule type="cellIs" dxfId="223" priority="215" operator="lessThan">
      <formula>4</formula>
    </cfRule>
    <cfRule type="cellIs" dxfId="222" priority="216" operator="greaterThanOrEqual">
      <formula>4</formula>
    </cfRule>
  </conditionalFormatting>
  <conditionalFormatting sqref="W31">
    <cfRule type="cellIs" dxfId="221" priority="212" operator="equal">
      <formula>"INCOMPLETE"</formula>
    </cfRule>
    <cfRule type="cellIs" dxfId="220" priority="213" operator="lessThan">
      <formula>4</formula>
    </cfRule>
    <cfRule type="cellIs" dxfId="219" priority="214" operator="greaterThanOrEqual">
      <formula>4</formula>
    </cfRule>
  </conditionalFormatting>
  <conditionalFormatting sqref="V32">
    <cfRule type="cellIs" dxfId="218" priority="205" operator="equal">
      <formula>"""INCOMPLETE"""</formula>
    </cfRule>
    <cfRule type="cellIs" dxfId="217" priority="209" operator="lessThan">
      <formula>4</formula>
    </cfRule>
    <cfRule type="cellIs" dxfId="216" priority="210" operator="greaterThanOrEqual">
      <formula>4</formula>
    </cfRule>
  </conditionalFormatting>
  <conditionalFormatting sqref="W32">
    <cfRule type="cellIs" dxfId="215" priority="206" operator="equal">
      <formula>"INCOMPLETE"</formula>
    </cfRule>
    <cfRule type="cellIs" dxfId="214" priority="207" operator="lessThan">
      <formula>4</formula>
    </cfRule>
    <cfRule type="cellIs" dxfId="213" priority="208" operator="greaterThanOrEqual">
      <formula>4</formula>
    </cfRule>
  </conditionalFormatting>
  <conditionalFormatting sqref="V33">
    <cfRule type="cellIs" dxfId="212" priority="199" operator="equal">
      <formula>"""INCOMPLETE"""</formula>
    </cfRule>
    <cfRule type="cellIs" dxfId="211" priority="203" operator="lessThan">
      <formula>4</formula>
    </cfRule>
    <cfRule type="cellIs" dxfId="210" priority="204" operator="greaterThanOrEqual">
      <formula>4</formula>
    </cfRule>
  </conditionalFormatting>
  <conditionalFormatting sqref="W33">
    <cfRule type="cellIs" dxfId="209" priority="200" operator="equal">
      <formula>"INCOMPLETE"</formula>
    </cfRule>
    <cfRule type="cellIs" dxfId="208" priority="201" operator="lessThan">
      <formula>4</formula>
    </cfRule>
    <cfRule type="cellIs" dxfId="207" priority="202" operator="greaterThanOrEqual">
      <formula>4</formula>
    </cfRule>
  </conditionalFormatting>
  <conditionalFormatting sqref="V34">
    <cfRule type="cellIs" dxfId="206" priority="193" operator="equal">
      <formula>"""INCOMPLETE"""</formula>
    </cfRule>
    <cfRule type="cellIs" dxfId="205" priority="197" operator="lessThan">
      <formula>4</formula>
    </cfRule>
    <cfRule type="cellIs" dxfId="204" priority="198" operator="greaterThanOrEqual">
      <formula>4</formula>
    </cfRule>
  </conditionalFormatting>
  <conditionalFormatting sqref="W34">
    <cfRule type="cellIs" dxfId="203" priority="194" operator="equal">
      <formula>"INCOMPLETE"</formula>
    </cfRule>
    <cfRule type="cellIs" dxfId="202" priority="195" operator="lessThan">
      <formula>4</formula>
    </cfRule>
    <cfRule type="cellIs" dxfId="201" priority="196" operator="greaterThanOrEqual">
      <formula>4</formula>
    </cfRule>
  </conditionalFormatting>
  <conditionalFormatting sqref="V35">
    <cfRule type="cellIs" dxfId="200" priority="187" operator="equal">
      <formula>"""INCOMPLETE"""</formula>
    </cfRule>
    <cfRule type="cellIs" dxfId="199" priority="191" operator="lessThan">
      <formula>4</formula>
    </cfRule>
    <cfRule type="cellIs" dxfId="198" priority="192" operator="greaterThanOrEqual">
      <formula>4</formula>
    </cfRule>
  </conditionalFormatting>
  <conditionalFormatting sqref="W35">
    <cfRule type="cellIs" dxfId="197" priority="188" operator="equal">
      <formula>"INCOMPLETE"</formula>
    </cfRule>
    <cfRule type="cellIs" dxfId="196" priority="189" operator="lessThan">
      <formula>4</formula>
    </cfRule>
    <cfRule type="cellIs" dxfId="195" priority="190" operator="greaterThanOrEqual">
      <formula>4</formula>
    </cfRule>
  </conditionalFormatting>
  <conditionalFormatting sqref="V36">
    <cfRule type="cellIs" dxfId="194" priority="181" operator="equal">
      <formula>"""INCOMPLETE"""</formula>
    </cfRule>
    <cfRule type="cellIs" dxfId="193" priority="185" operator="lessThan">
      <formula>4</formula>
    </cfRule>
    <cfRule type="cellIs" dxfId="192" priority="186" operator="greaterThanOrEqual">
      <formula>4</formula>
    </cfRule>
  </conditionalFormatting>
  <conditionalFormatting sqref="W36">
    <cfRule type="cellIs" dxfId="191" priority="182" operator="equal">
      <formula>"INCOMPLETE"</formula>
    </cfRule>
    <cfRule type="cellIs" dxfId="190" priority="183" operator="lessThan">
      <formula>4</formula>
    </cfRule>
    <cfRule type="cellIs" dxfId="189" priority="184" operator="greaterThanOrEqual">
      <formula>4</formula>
    </cfRule>
  </conditionalFormatting>
  <conditionalFormatting sqref="V37">
    <cfRule type="cellIs" dxfId="188" priority="175" operator="equal">
      <formula>"""INCOMPLETE"""</formula>
    </cfRule>
    <cfRule type="cellIs" dxfId="187" priority="179" operator="lessThan">
      <formula>4</formula>
    </cfRule>
    <cfRule type="cellIs" dxfId="186" priority="180" operator="greaterThanOrEqual">
      <formula>4</formula>
    </cfRule>
  </conditionalFormatting>
  <conditionalFormatting sqref="W37">
    <cfRule type="cellIs" dxfId="185" priority="176" operator="equal">
      <formula>"INCOMPLETE"</formula>
    </cfRule>
    <cfRule type="cellIs" dxfId="184" priority="177" operator="lessThan">
      <formula>4</formula>
    </cfRule>
    <cfRule type="cellIs" dxfId="183" priority="178" operator="greaterThanOrEqual">
      <formula>4</formula>
    </cfRule>
  </conditionalFormatting>
  <conditionalFormatting sqref="V38">
    <cfRule type="cellIs" dxfId="182" priority="169" operator="equal">
      <formula>"""INCOMPLETE"""</formula>
    </cfRule>
    <cfRule type="cellIs" dxfId="181" priority="173" operator="lessThan">
      <formula>4</formula>
    </cfRule>
    <cfRule type="cellIs" dxfId="180" priority="174" operator="greaterThanOrEqual">
      <formula>4</formula>
    </cfRule>
  </conditionalFormatting>
  <conditionalFormatting sqref="W38">
    <cfRule type="cellIs" dxfId="179" priority="170" operator="equal">
      <formula>"INCOMPLETE"</formula>
    </cfRule>
    <cfRule type="cellIs" dxfId="178" priority="171" operator="lessThan">
      <formula>4</formula>
    </cfRule>
    <cfRule type="cellIs" dxfId="177" priority="172" operator="greaterThanOrEqual">
      <formula>4</formula>
    </cfRule>
  </conditionalFormatting>
  <conditionalFormatting sqref="V39">
    <cfRule type="cellIs" dxfId="176" priority="163" operator="equal">
      <formula>"""INCOMPLETE"""</formula>
    </cfRule>
    <cfRule type="cellIs" dxfId="175" priority="167" operator="lessThan">
      <formula>4</formula>
    </cfRule>
    <cfRule type="cellIs" dxfId="174" priority="168" operator="greaterThanOrEqual">
      <formula>4</formula>
    </cfRule>
  </conditionalFormatting>
  <conditionalFormatting sqref="W39">
    <cfRule type="cellIs" dxfId="173" priority="164" operator="equal">
      <formula>"INCOMPLETE"</formula>
    </cfRule>
    <cfRule type="cellIs" dxfId="172" priority="165" operator="lessThan">
      <formula>4</formula>
    </cfRule>
    <cfRule type="cellIs" dxfId="171" priority="166" operator="greaterThanOrEqual">
      <formula>4</formula>
    </cfRule>
  </conditionalFormatting>
  <conditionalFormatting sqref="V40">
    <cfRule type="cellIs" dxfId="170" priority="157" operator="equal">
      <formula>"""INCOMPLETE"""</formula>
    </cfRule>
    <cfRule type="cellIs" dxfId="169" priority="161" operator="lessThan">
      <formula>4</formula>
    </cfRule>
    <cfRule type="cellIs" dxfId="168" priority="162" operator="greaterThanOrEqual">
      <formula>4</formula>
    </cfRule>
  </conditionalFormatting>
  <conditionalFormatting sqref="W40">
    <cfRule type="cellIs" dxfId="167" priority="158" operator="equal">
      <formula>"INCOMPLETE"</formula>
    </cfRule>
    <cfRule type="cellIs" dxfId="166" priority="159" operator="lessThan">
      <formula>4</formula>
    </cfRule>
    <cfRule type="cellIs" dxfId="165" priority="160" operator="greaterThanOrEqual">
      <formula>4</formula>
    </cfRule>
  </conditionalFormatting>
  <conditionalFormatting sqref="V41">
    <cfRule type="cellIs" dxfId="164" priority="151" operator="equal">
      <formula>"""INCOMPLETE"""</formula>
    </cfRule>
    <cfRule type="cellIs" dxfId="163" priority="155" operator="lessThan">
      <formula>4</formula>
    </cfRule>
    <cfRule type="cellIs" dxfId="162" priority="156" operator="greaterThanOrEqual">
      <formula>4</formula>
    </cfRule>
  </conditionalFormatting>
  <conditionalFormatting sqref="W41">
    <cfRule type="cellIs" dxfId="161" priority="152" operator="equal">
      <formula>"INCOMPLETE"</formula>
    </cfRule>
    <cfRule type="cellIs" dxfId="160" priority="153" operator="lessThan">
      <formula>4</formula>
    </cfRule>
    <cfRule type="cellIs" dxfId="159" priority="154" operator="greaterThanOrEqual">
      <formula>4</formula>
    </cfRule>
  </conditionalFormatting>
  <conditionalFormatting sqref="V42">
    <cfRule type="cellIs" dxfId="158" priority="145" operator="equal">
      <formula>"""INCOMPLETE"""</formula>
    </cfRule>
    <cfRule type="cellIs" dxfId="157" priority="149" operator="lessThan">
      <formula>4</formula>
    </cfRule>
    <cfRule type="cellIs" dxfId="156" priority="150" operator="greaterThanOrEqual">
      <formula>4</formula>
    </cfRule>
  </conditionalFormatting>
  <conditionalFormatting sqref="W42">
    <cfRule type="cellIs" dxfId="155" priority="146" operator="equal">
      <formula>"INCOMPLETE"</formula>
    </cfRule>
    <cfRule type="cellIs" dxfId="154" priority="147" operator="lessThan">
      <formula>4</formula>
    </cfRule>
    <cfRule type="cellIs" dxfId="153" priority="148" operator="greaterThanOrEqual">
      <formula>4</formula>
    </cfRule>
  </conditionalFormatting>
  <conditionalFormatting sqref="V43">
    <cfRule type="cellIs" dxfId="152" priority="139" operator="equal">
      <formula>"""INCOMPLETE"""</formula>
    </cfRule>
    <cfRule type="cellIs" dxfId="151" priority="143" operator="lessThan">
      <formula>4</formula>
    </cfRule>
    <cfRule type="cellIs" dxfId="150" priority="144" operator="greaterThanOrEqual">
      <formula>4</formula>
    </cfRule>
  </conditionalFormatting>
  <conditionalFormatting sqref="W43">
    <cfRule type="cellIs" dxfId="149" priority="140" operator="equal">
      <formula>"INCOMPLETE"</formula>
    </cfRule>
    <cfRule type="cellIs" dxfId="148" priority="141" operator="lessThan">
      <formula>4</formula>
    </cfRule>
    <cfRule type="cellIs" dxfId="147" priority="142" operator="greaterThanOrEqual">
      <formula>4</formula>
    </cfRule>
  </conditionalFormatting>
  <conditionalFormatting sqref="V44">
    <cfRule type="cellIs" dxfId="146" priority="133" operator="equal">
      <formula>"""INCOMPLETE"""</formula>
    </cfRule>
    <cfRule type="cellIs" dxfId="145" priority="137" operator="lessThan">
      <formula>4</formula>
    </cfRule>
    <cfRule type="cellIs" dxfId="144" priority="138" operator="greaterThanOrEqual">
      <formula>4</formula>
    </cfRule>
  </conditionalFormatting>
  <conditionalFormatting sqref="W44">
    <cfRule type="cellIs" dxfId="143" priority="134" operator="equal">
      <formula>"INCOMPLETE"</formula>
    </cfRule>
    <cfRule type="cellIs" dxfId="142" priority="135" operator="lessThan">
      <formula>4</formula>
    </cfRule>
    <cfRule type="cellIs" dxfId="141" priority="136" operator="greaterThanOrEqual">
      <formula>4</formula>
    </cfRule>
  </conditionalFormatting>
  <conditionalFormatting sqref="V45">
    <cfRule type="cellIs" dxfId="140" priority="127" operator="equal">
      <formula>"""INCOMPLETE"""</formula>
    </cfRule>
    <cfRule type="cellIs" dxfId="139" priority="131" operator="lessThan">
      <formula>4</formula>
    </cfRule>
    <cfRule type="cellIs" dxfId="138" priority="132" operator="greaterThanOrEqual">
      <formula>4</formula>
    </cfRule>
  </conditionalFormatting>
  <conditionalFormatting sqref="W45">
    <cfRule type="cellIs" dxfId="137" priority="128" operator="equal">
      <formula>"INCOMPLETE"</formula>
    </cfRule>
    <cfRule type="cellIs" dxfId="136" priority="129" operator="lessThan">
      <formula>4</formula>
    </cfRule>
    <cfRule type="cellIs" dxfId="135" priority="130" operator="greaterThanOrEqual">
      <formula>4</formula>
    </cfRule>
  </conditionalFormatting>
  <conditionalFormatting sqref="V46">
    <cfRule type="cellIs" dxfId="134" priority="121" operator="equal">
      <formula>"""INCOMPLETE"""</formula>
    </cfRule>
    <cfRule type="cellIs" dxfId="133" priority="125" operator="lessThan">
      <formula>4</formula>
    </cfRule>
    <cfRule type="cellIs" dxfId="132" priority="126" operator="greaterThanOrEqual">
      <formula>4</formula>
    </cfRule>
  </conditionalFormatting>
  <conditionalFormatting sqref="W46">
    <cfRule type="cellIs" dxfId="131" priority="122" operator="equal">
      <formula>"INCOMPLETE"</formula>
    </cfRule>
    <cfRule type="cellIs" dxfId="130" priority="123" operator="lessThan">
      <formula>4</formula>
    </cfRule>
    <cfRule type="cellIs" dxfId="129" priority="124" operator="greaterThanOrEqual">
      <formula>4</formula>
    </cfRule>
  </conditionalFormatting>
  <conditionalFormatting sqref="V47">
    <cfRule type="cellIs" dxfId="128" priority="115" operator="equal">
      <formula>"""INCOMPLETE"""</formula>
    </cfRule>
    <cfRule type="cellIs" dxfId="127" priority="119" operator="lessThan">
      <formula>4</formula>
    </cfRule>
    <cfRule type="cellIs" dxfId="126" priority="120" operator="greaterThanOrEqual">
      <formula>4</formula>
    </cfRule>
  </conditionalFormatting>
  <conditionalFormatting sqref="W47">
    <cfRule type="cellIs" dxfId="125" priority="116" operator="equal">
      <formula>"INCOMPLETE"</formula>
    </cfRule>
    <cfRule type="cellIs" dxfId="124" priority="117" operator="lessThan">
      <formula>4</formula>
    </cfRule>
    <cfRule type="cellIs" dxfId="123" priority="118" operator="greaterThanOrEqual">
      <formula>4</formula>
    </cfRule>
  </conditionalFormatting>
  <conditionalFormatting sqref="V48">
    <cfRule type="cellIs" dxfId="122" priority="109" operator="equal">
      <formula>"""INCOMPLETE"""</formula>
    </cfRule>
    <cfRule type="cellIs" dxfId="121" priority="113" operator="lessThan">
      <formula>4</formula>
    </cfRule>
    <cfRule type="cellIs" dxfId="120" priority="114" operator="greaterThanOrEqual">
      <formula>4</formula>
    </cfRule>
  </conditionalFormatting>
  <conditionalFormatting sqref="W48">
    <cfRule type="cellIs" dxfId="119" priority="110" operator="equal">
      <formula>"INCOMPLETE"</formula>
    </cfRule>
    <cfRule type="cellIs" dxfId="118" priority="111" operator="lessThan">
      <formula>4</formula>
    </cfRule>
    <cfRule type="cellIs" dxfId="117" priority="112" operator="greaterThanOrEqual">
      <formula>4</formula>
    </cfRule>
  </conditionalFormatting>
  <conditionalFormatting sqref="V49">
    <cfRule type="cellIs" dxfId="116" priority="103" operator="equal">
      <formula>"""INCOMPLETE"""</formula>
    </cfRule>
    <cfRule type="cellIs" dxfId="115" priority="107" operator="lessThan">
      <formula>4</formula>
    </cfRule>
    <cfRule type="cellIs" dxfId="114" priority="108" operator="greaterThanOrEqual">
      <formula>4</formula>
    </cfRule>
  </conditionalFormatting>
  <conditionalFormatting sqref="W49">
    <cfRule type="cellIs" dxfId="113" priority="104" operator="equal">
      <formula>"INCOMPLETE"</formula>
    </cfRule>
    <cfRule type="cellIs" dxfId="112" priority="105" operator="lessThan">
      <formula>4</formula>
    </cfRule>
    <cfRule type="cellIs" dxfId="111" priority="106" operator="greaterThanOrEqual">
      <formula>4</formula>
    </cfRule>
  </conditionalFormatting>
  <conditionalFormatting sqref="V50">
    <cfRule type="cellIs" dxfId="110" priority="97" operator="equal">
      <formula>"""INCOMPLETE"""</formula>
    </cfRule>
    <cfRule type="cellIs" dxfId="109" priority="101" operator="lessThan">
      <formula>4</formula>
    </cfRule>
    <cfRule type="cellIs" dxfId="108" priority="102" operator="greaterThanOrEqual">
      <formula>4</formula>
    </cfRule>
  </conditionalFormatting>
  <conditionalFormatting sqref="W50">
    <cfRule type="cellIs" dxfId="107" priority="98" operator="equal">
      <formula>"INCOMPLETE"</formula>
    </cfRule>
    <cfRule type="cellIs" dxfId="106" priority="99" operator="lessThan">
      <formula>4</formula>
    </cfRule>
    <cfRule type="cellIs" dxfId="105" priority="100" operator="greaterThanOrEqual">
      <formula>4</formula>
    </cfRule>
  </conditionalFormatting>
  <conditionalFormatting sqref="V51">
    <cfRule type="cellIs" dxfId="104" priority="91" operator="equal">
      <formula>"""INCOMPLETE"""</formula>
    </cfRule>
    <cfRule type="cellIs" dxfId="103" priority="95" operator="lessThan">
      <formula>4</formula>
    </cfRule>
    <cfRule type="cellIs" dxfId="102" priority="96" operator="greaterThanOrEqual">
      <formula>4</formula>
    </cfRule>
  </conditionalFormatting>
  <conditionalFormatting sqref="W51">
    <cfRule type="cellIs" dxfId="101" priority="92" operator="equal">
      <formula>"INCOMPLETE"</formula>
    </cfRule>
    <cfRule type="cellIs" dxfId="100" priority="93" operator="lessThan">
      <formula>4</formula>
    </cfRule>
    <cfRule type="cellIs" dxfId="99" priority="94" operator="greaterThanOrEqual">
      <formula>4</formula>
    </cfRule>
  </conditionalFormatting>
  <conditionalFormatting sqref="V52">
    <cfRule type="cellIs" dxfId="98" priority="85" operator="equal">
      <formula>"""INCOMPLETE"""</formula>
    </cfRule>
    <cfRule type="cellIs" dxfId="97" priority="89" operator="lessThan">
      <formula>4</formula>
    </cfRule>
    <cfRule type="cellIs" dxfId="96" priority="90" operator="greaterThanOrEqual">
      <formula>4</formula>
    </cfRule>
  </conditionalFormatting>
  <conditionalFormatting sqref="W52">
    <cfRule type="cellIs" dxfId="95" priority="86" operator="equal">
      <formula>"INCOMPLETE"</formula>
    </cfRule>
    <cfRule type="cellIs" dxfId="94" priority="87" operator="lessThan">
      <formula>4</formula>
    </cfRule>
    <cfRule type="cellIs" dxfId="93" priority="88" operator="greaterThanOrEqual">
      <formula>4</formula>
    </cfRule>
  </conditionalFormatting>
  <conditionalFormatting sqref="V53">
    <cfRule type="cellIs" dxfId="92" priority="79" operator="equal">
      <formula>"""INCOMPLETE"""</formula>
    </cfRule>
    <cfRule type="cellIs" dxfId="91" priority="83" operator="lessThan">
      <formula>4</formula>
    </cfRule>
    <cfRule type="cellIs" dxfId="90" priority="84" operator="greaterThanOrEqual">
      <formula>4</formula>
    </cfRule>
  </conditionalFormatting>
  <conditionalFormatting sqref="W53">
    <cfRule type="cellIs" dxfId="89" priority="80" operator="equal">
      <formula>"INCOMPLETE"</formula>
    </cfRule>
    <cfRule type="cellIs" dxfId="88" priority="81" operator="lessThan">
      <formula>4</formula>
    </cfRule>
    <cfRule type="cellIs" dxfId="87" priority="82" operator="greaterThanOrEqual">
      <formula>4</formula>
    </cfRule>
  </conditionalFormatting>
  <conditionalFormatting sqref="V54">
    <cfRule type="cellIs" dxfId="86" priority="73" operator="equal">
      <formula>"""INCOMPLETE"""</formula>
    </cfRule>
    <cfRule type="cellIs" dxfId="85" priority="77" operator="lessThan">
      <formula>4</formula>
    </cfRule>
    <cfRule type="cellIs" dxfId="84" priority="78" operator="greaterThanOrEqual">
      <formula>4</formula>
    </cfRule>
  </conditionalFormatting>
  <conditionalFormatting sqref="W54">
    <cfRule type="cellIs" dxfId="83" priority="74" operator="equal">
      <formula>"INCOMPLETE"</formula>
    </cfRule>
    <cfRule type="cellIs" dxfId="82" priority="75" operator="lessThan">
      <formula>4</formula>
    </cfRule>
    <cfRule type="cellIs" dxfId="81" priority="76" operator="greaterThanOrEqual">
      <formula>4</formula>
    </cfRule>
  </conditionalFormatting>
  <conditionalFormatting sqref="V55">
    <cfRule type="cellIs" dxfId="80" priority="67" operator="equal">
      <formula>"""INCOMPLETE"""</formula>
    </cfRule>
    <cfRule type="cellIs" dxfId="79" priority="71" operator="lessThan">
      <formula>4</formula>
    </cfRule>
    <cfRule type="cellIs" dxfId="78" priority="72" operator="greaterThanOrEqual">
      <formula>4</formula>
    </cfRule>
  </conditionalFormatting>
  <conditionalFormatting sqref="W55">
    <cfRule type="cellIs" dxfId="77" priority="68" operator="equal">
      <formula>"INCOMPLETE"</formula>
    </cfRule>
    <cfRule type="cellIs" dxfId="76" priority="69" operator="lessThan">
      <formula>4</formula>
    </cfRule>
    <cfRule type="cellIs" dxfId="75" priority="70" operator="greaterThanOrEqual">
      <formula>4</formula>
    </cfRule>
  </conditionalFormatting>
  <conditionalFormatting sqref="V56">
    <cfRule type="cellIs" dxfId="74" priority="61" operator="equal">
      <formula>"""INCOMPLETE"""</formula>
    </cfRule>
    <cfRule type="cellIs" dxfId="73" priority="65" operator="lessThan">
      <formula>4</formula>
    </cfRule>
    <cfRule type="cellIs" dxfId="72" priority="66" operator="greaterThanOrEqual">
      <formula>4</formula>
    </cfRule>
  </conditionalFormatting>
  <conditionalFormatting sqref="W56">
    <cfRule type="cellIs" dxfId="71" priority="62" operator="equal">
      <formula>"INCOMPLETE"</formula>
    </cfRule>
    <cfRule type="cellIs" dxfId="70" priority="63" operator="lessThan">
      <formula>4</formula>
    </cfRule>
    <cfRule type="cellIs" dxfId="69" priority="64" operator="greaterThanOrEqual">
      <formula>4</formula>
    </cfRule>
  </conditionalFormatting>
  <conditionalFormatting sqref="V57">
    <cfRule type="cellIs" dxfId="68" priority="55" operator="equal">
      <formula>"""INCOMPLETE"""</formula>
    </cfRule>
    <cfRule type="cellIs" dxfId="67" priority="59" operator="lessThan">
      <formula>4</formula>
    </cfRule>
    <cfRule type="cellIs" dxfId="66" priority="60" operator="greaterThanOrEqual">
      <formula>4</formula>
    </cfRule>
  </conditionalFormatting>
  <conditionalFormatting sqref="W57">
    <cfRule type="cellIs" dxfId="65" priority="56" operator="equal">
      <formula>"INCOMPLETE"</formula>
    </cfRule>
    <cfRule type="cellIs" dxfId="64" priority="57" operator="lessThan">
      <formula>4</formula>
    </cfRule>
    <cfRule type="cellIs" dxfId="63" priority="58" operator="greaterThanOrEqual">
      <formula>4</formula>
    </cfRule>
  </conditionalFormatting>
  <conditionalFormatting sqref="V58">
    <cfRule type="cellIs" dxfId="62" priority="49" operator="equal">
      <formula>"""INCOMPLETE"""</formula>
    </cfRule>
    <cfRule type="cellIs" dxfId="61" priority="53" operator="lessThan">
      <formula>4</formula>
    </cfRule>
    <cfRule type="cellIs" dxfId="60" priority="54" operator="greaterThanOrEqual">
      <formula>4</formula>
    </cfRule>
  </conditionalFormatting>
  <conditionalFormatting sqref="W58">
    <cfRule type="cellIs" dxfId="59" priority="50" operator="equal">
      <formula>"INCOMPLETE"</formula>
    </cfRule>
    <cfRule type="cellIs" dxfId="58" priority="51" operator="lessThan">
      <formula>4</formula>
    </cfRule>
    <cfRule type="cellIs" dxfId="57" priority="52" operator="greaterThanOrEqual">
      <formula>4</formula>
    </cfRule>
  </conditionalFormatting>
  <conditionalFormatting sqref="V59">
    <cfRule type="cellIs" dxfId="56" priority="43" operator="equal">
      <formula>"""INCOMPLETE"""</formula>
    </cfRule>
    <cfRule type="cellIs" dxfId="55" priority="47" operator="lessThan">
      <formula>4</formula>
    </cfRule>
    <cfRule type="cellIs" dxfId="54" priority="48" operator="greaterThanOrEqual">
      <formula>4</formula>
    </cfRule>
  </conditionalFormatting>
  <conditionalFormatting sqref="W59">
    <cfRule type="cellIs" dxfId="53" priority="44" operator="equal">
      <formula>"INCOMPLETE"</formula>
    </cfRule>
    <cfRule type="cellIs" dxfId="52" priority="45" operator="lessThan">
      <formula>4</formula>
    </cfRule>
    <cfRule type="cellIs" dxfId="51" priority="46" operator="greaterThanOrEqual">
      <formula>4</formula>
    </cfRule>
  </conditionalFormatting>
  <conditionalFormatting sqref="V60">
    <cfRule type="cellIs" dxfId="50" priority="37" operator="equal">
      <formula>"""INCOMPLETE"""</formula>
    </cfRule>
    <cfRule type="cellIs" dxfId="49" priority="41" operator="lessThan">
      <formula>4</formula>
    </cfRule>
    <cfRule type="cellIs" dxfId="48" priority="42" operator="greaterThanOrEqual">
      <formula>4</formula>
    </cfRule>
  </conditionalFormatting>
  <conditionalFormatting sqref="W60">
    <cfRule type="cellIs" dxfId="47" priority="38" operator="equal">
      <formula>"INCOMPLETE"</formula>
    </cfRule>
    <cfRule type="cellIs" dxfId="46" priority="39" operator="lessThan">
      <formula>4</formula>
    </cfRule>
    <cfRule type="cellIs" dxfId="45" priority="40" operator="greaterThanOrEqual">
      <formula>4</formula>
    </cfRule>
  </conditionalFormatting>
  <conditionalFormatting sqref="V61">
    <cfRule type="cellIs" dxfId="44" priority="31" operator="equal">
      <formula>"""INCOMPLETE"""</formula>
    </cfRule>
    <cfRule type="cellIs" dxfId="43" priority="35" operator="lessThan">
      <formula>4</formula>
    </cfRule>
    <cfRule type="cellIs" dxfId="42" priority="36" operator="greaterThanOrEqual">
      <formula>4</formula>
    </cfRule>
  </conditionalFormatting>
  <conditionalFormatting sqref="W61">
    <cfRule type="cellIs" dxfId="41" priority="32" operator="equal">
      <formula>"INCOMPLETE"</formula>
    </cfRule>
    <cfRule type="cellIs" dxfId="40" priority="33" operator="lessThan">
      <formula>4</formula>
    </cfRule>
    <cfRule type="cellIs" dxfId="39" priority="34" operator="greaterThanOrEqual">
      <formula>4</formula>
    </cfRule>
  </conditionalFormatting>
  <conditionalFormatting sqref="V62">
    <cfRule type="cellIs" dxfId="38" priority="25" operator="equal">
      <formula>"""INCOMPLETE"""</formula>
    </cfRule>
    <cfRule type="cellIs" dxfId="37" priority="29" operator="lessThan">
      <formula>4</formula>
    </cfRule>
    <cfRule type="cellIs" dxfId="36" priority="30" operator="greaterThanOrEqual">
      <formula>4</formula>
    </cfRule>
  </conditionalFormatting>
  <conditionalFormatting sqref="W62">
    <cfRule type="cellIs" dxfId="35" priority="26" operator="equal">
      <formula>"INCOMPLETE"</formula>
    </cfRule>
    <cfRule type="cellIs" dxfId="34" priority="27" operator="lessThan">
      <formula>4</formula>
    </cfRule>
    <cfRule type="cellIs" dxfId="33" priority="28" operator="greaterThanOrEqual">
      <formula>4</formula>
    </cfRule>
  </conditionalFormatting>
  <conditionalFormatting sqref="V63">
    <cfRule type="cellIs" dxfId="32" priority="19" operator="equal">
      <formula>"""INCOMPLETE"""</formula>
    </cfRule>
    <cfRule type="cellIs" dxfId="31" priority="23" operator="lessThan">
      <formula>4</formula>
    </cfRule>
    <cfRule type="cellIs" dxfId="30" priority="24" operator="greaterThanOrEqual">
      <formula>4</formula>
    </cfRule>
  </conditionalFormatting>
  <conditionalFormatting sqref="W63">
    <cfRule type="cellIs" dxfId="29" priority="20" operator="equal">
      <formula>"INCOMPLETE"</formula>
    </cfRule>
    <cfRule type="cellIs" dxfId="28" priority="21" operator="lessThan">
      <formula>4</formula>
    </cfRule>
    <cfRule type="cellIs" dxfId="27" priority="22" operator="greaterThanOrEqual">
      <formula>4</formula>
    </cfRule>
  </conditionalFormatting>
  <conditionalFormatting sqref="V64">
    <cfRule type="cellIs" dxfId="26" priority="13" operator="equal">
      <formula>"""INCOMPLETE"""</formula>
    </cfRule>
    <cfRule type="cellIs" dxfId="25" priority="17" operator="lessThan">
      <formula>4</formula>
    </cfRule>
    <cfRule type="cellIs" dxfId="24" priority="18" operator="greaterThanOrEqual">
      <formula>4</formula>
    </cfRule>
  </conditionalFormatting>
  <conditionalFormatting sqref="W64">
    <cfRule type="cellIs" dxfId="23" priority="14" operator="equal">
      <formula>"INCOMPLETE"</formula>
    </cfRule>
    <cfRule type="cellIs" dxfId="22" priority="15" operator="lessThan">
      <formula>4</formula>
    </cfRule>
    <cfRule type="cellIs" dxfId="21" priority="16" operator="greaterThanOrEqual">
      <formula>4</formula>
    </cfRule>
  </conditionalFormatting>
  <conditionalFormatting sqref="V65">
    <cfRule type="cellIs" dxfId="20" priority="7" operator="equal">
      <formula>"""INCOMPLETE"""</formula>
    </cfRule>
    <cfRule type="cellIs" dxfId="19" priority="11" operator="lessThan">
      <formula>4</formula>
    </cfRule>
    <cfRule type="cellIs" dxfId="18" priority="12" operator="greaterThanOrEqual">
      <formula>4</formula>
    </cfRule>
  </conditionalFormatting>
  <conditionalFormatting sqref="W65">
    <cfRule type="cellIs" dxfId="17" priority="8" operator="equal">
      <formula>"INCOMPLETE"</formula>
    </cfRule>
    <cfRule type="cellIs" dxfId="16" priority="9" operator="lessThan">
      <formula>4</formula>
    </cfRule>
    <cfRule type="cellIs" dxfId="15" priority="10" operator="greaterThanOrEqual">
      <formula>4</formula>
    </cfRule>
  </conditionalFormatting>
  <conditionalFormatting sqref="V66">
    <cfRule type="cellIs" dxfId="14" priority="1" operator="equal">
      <formula>"""INCOMPLETE"""</formula>
    </cfRule>
    <cfRule type="cellIs" dxfId="13" priority="5" operator="lessThan">
      <formula>4</formula>
    </cfRule>
    <cfRule type="cellIs" dxfId="12" priority="6" operator="greaterThanOrEqual">
      <formula>4</formula>
    </cfRule>
  </conditionalFormatting>
  <conditionalFormatting sqref="W66">
    <cfRule type="cellIs" dxfId="11" priority="2" operator="equal">
      <formula>"INCOMPLETE"</formula>
    </cfRule>
    <cfRule type="cellIs" dxfId="10" priority="3" operator="lessThan">
      <formula>4</formula>
    </cfRule>
    <cfRule type="cellIs" dxfId="9" priority="4" operator="greaterThanOrEqual">
      <formula>4</formula>
    </cfRule>
  </conditionalFormatting>
  <dataValidations count="9">
    <dataValidation type="list" allowBlank="1" showInputMessage="1" showErrorMessage="1" prompt="This metric measures the ability of a vulnerabilities exploit to be detected by the product or it’s user. It is meant as an environment-specific indicator to lower the scoring as a result of an exploit being detected." sqref="T6:T66">
      <formula1>AwarenessValues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R66">
      <formula1>CollateralDamagePotentialValues</formula1>
    </dataValidation>
    <dataValidation type="list" allowBlank="1" showInputMessage="1" showErrorMessage="1" prompt="This metric measures the impact to availability of the system in light of a successful threat." sqref="P6:P66">
      <formula1>AvailabilityImpactValues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N66">
      <formula1>IntegrityImpactValues</formula1>
    </dataValidation>
    <dataValidation type="list" allowBlank="1" showInputMessage="1" showErrorMessage="1" prompt="This metric measures the impact on confidentiality of a successfully exploited vulnerability." sqref="L6:L66">
      <formula1>ConfidentialityImpactValues</formula1>
    </dataValidation>
    <dataValidation type="list" allowBlank="1" showInputMessage="1" showErrorMessage="1" prompt="This metric gauges the strength of the authentication process used to exploit the vulnerability" sqref="J6:J66">
      <formula1>AuthenticationValues</formula1>
    </dataValidation>
    <dataValidation type="list" allowBlank="1" showInputMessage="1" showErrorMessage="1" prompt="This metric measures the complexity of the attack required to exploit the vulnerability." sqref="H6:H66">
      <formula1>AccessComplexityValues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nge" sqref="F6:F66">
      <formula1>AccessVectorValues</formula1>
    </dataValidation>
    <dataValidation allowBlank="1" showInputMessage="1" showErrorMessage="1" prompt="This metric indicates if this potential vulnerability affect the safety or efficacy" sqref="E6:E66"/>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62"/>
  <sheetViews>
    <sheetView topLeftCell="A28" zoomScaleNormal="100" workbookViewId="0">
      <selection activeCell="A38" sqref="A38:B38"/>
    </sheetView>
  </sheetViews>
  <sheetFormatPr defaultRowHeight="13.2" x14ac:dyDescent="0.25"/>
  <cols>
    <col min="1" max="1" width="27.21875" style="1" bestFit="1" customWidth="1"/>
    <col min="2" max="2" width="114.109375" style="2" bestFit="1" customWidth="1"/>
    <col min="3" max="3" width="9.109375" style="4" customWidth="1"/>
  </cols>
  <sheetData>
    <row r="1" spans="1:3" ht="13.5" customHeight="1" thickBot="1" x14ac:dyDescent="0.3">
      <c r="A1" s="84" t="s">
        <v>4</v>
      </c>
      <c r="B1" s="85"/>
      <c r="C1" s="6" t="s">
        <v>44</v>
      </c>
    </row>
    <row r="2" spans="1:3" x14ac:dyDescent="0.25">
      <c r="A2" s="7" t="s">
        <v>45</v>
      </c>
      <c r="B2" s="8" t="s">
        <v>107</v>
      </c>
      <c r="C2" s="4">
        <v>0</v>
      </c>
    </row>
    <row r="3" spans="1:3" ht="21" x14ac:dyDescent="0.25">
      <c r="A3" s="7" t="s">
        <v>12</v>
      </c>
      <c r="B3" s="8" t="s">
        <v>46</v>
      </c>
      <c r="C3" s="4">
        <v>0.39500000000000002</v>
      </c>
    </row>
    <row r="4" spans="1:3" ht="31.2" x14ac:dyDescent="0.25">
      <c r="A4" s="7" t="s">
        <v>13</v>
      </c>
      <c r="B4" s="8" t="s">
        <v>47</v>
      </c>
      <c r="C4" s="4">
        <v>0.64600000000000002</v>
      </c>
    </row>
    <row r="5" spans="1:3" ht="31.8" thickBot="1" x14ac:dyDescent="0.3">
      <c r="A5" s="7" t="s">
        <v>14</v>
      </c>
      <c r="B5" s="8" t="s">
        <v>48</v>
      </c>
      <c r="C5" s="4">
        <v>1</v>
      </c>
    </row>
    <row r="6" spans="1:3" s="5" customFormat="1" ht="13.5" customHeight="1" thickBot="1" x14ac:dyDescent="0.3">
      <c r="A6" s="84" t="s">
        <v>5</v>
      </c>
      <c r="B6" s="85"/>
      <c r="C6" s="3"/>
    </row>
    <row r="7" spans="1:3" x14ac:dyDescent="0.25">
      <c r="A7" s="9" t="s">
        <v>45</v>
      </c>
      <c r="B7" s="8" t="s">
        <v>107</v>
      </c>
      <c r="C7" s="4">
        <v>0</v>
      </c>
    </row>
    <row r="8" spans="1:3" ht="51.6" x14ac:dyDescent="0.25">
      <c r="A8" s="9" t="s">
        <v>2</v>
      </c>
      <c r="B8" s="8" t="s">
        <v>49</v>
      </c>
      <c r="C8" s="4">
        <v>0.35</v>
      </c>
    </row>
    <row r="9" spans="1:3" ht="61.8" x14ac:dyDescent="0.25">
      <c r="A9" s="7" t="s">
        <v>11</v>
      </c>
      <c r="B9" s="8" t="s">
        <v>50</v>
      </c>
      <c r="C9" s="4">
        <v>0.61</v>
      </c>
    </row>
    <row r="10" spans="1:3" ht="62.4" thickBot="1" x14ac:dyDescent="0.3">
      <c r="A10" s="7" t="s">
        <v>3</v>
      </c>
      <c r="B10" s="8" t="s">
        <v>51</v>
      </c>
      <c r="C10" s="4">
        <v>0.71</v>
      </c>
    </row>
    <row r="11" spans="1:3" s="5" customFormat="1" ht="13.5" customHeight="1" thickBot="1" x14ac:dyDescent="0.3">
      <c r="A11" s="84" t="s">
        <v>6</v>
      </c>
      <c r="B11" s="85"/>
      <c r="C11" s="3"/>
    </row>
    <row r="12" spans="1:3" x14ac:dyDescent="0.25">
      <c r="A12" s="7" t="s">
        <v>45</v>
      </c>
      <c r="B12" s="8" t="s">
        <v>107</v>
      </c>
      <c r="C12" s="4">
        <v>0</v>
      </c>
    </row>
    <row r="13" spans="1:3" x14ac:dyDescent="0.25">
      <c r="A13" s="7" t="s">
        <v>15</v>
      </c>
      <c r="B13" s="8" t="s">
        <v>52</v>
      </c>
      <c r="C13" s="4">
        <v>0.70399999999999996</v>
      </c>
    </row>
    <row r="14" spans="1:3" x14ac:dyDescent="0.25">
      <c r="A14" s="7" t="s">
        <v>53</v>
      </c>
      <c r="B14" s="8" t="s">
        <v>54</v>
      </c>
      <c r="C14" s="4">
        <v>0.56000000000000005</v>
      </c>
    </row>
    <row r="15" spans="1:3" ht="13.8" thickBot="1" x14ac:dyDescent="0.3">
      <c r="A15" s="7" t="s">
        <v>55</v>
      </c>
      <c r="B15" s="8" t="s">
        <v>56</v>
      </c>
      <c r="C15" s="4">
        <v>0.45</v>
      </c>
    </row>
    <row r="16" spans="1:3" s="5" customFormat="1" ht="13.5" customHeight="1" thickBot="1" x14ac:dyDescent="0.3">
      <c r="A16" s="84" t="s">
        <v>7</v>
      </c>
      <c r="B16" s="85"/>
      <c r="C16" s="3"/>
    </row>
    <row r="17" spans="1:3" x14ac:dyDescent="0.25">
      <c r="A17" s="7" t="s">
        <v>45</v>
      </c>
      <c r="B17" s="8" t="s">
        <v>107</v>
      </c>
      <c r="C17" s="4">
        <v>0</v>
      </c>
    </row>
    <row r="18" spans="1:3" x14ac:dyDescent="0.25">
      <c r="A18" s="7" t="s">
        <v>15</v>
      </c>
      <c r="B18" s="8" t="s">
        <v>18</v>
      </c>
      <c r="C18" s="4">
        <v>0</v>
      </c>
    </row>
    <row r="19" spans="1:3" ht="21" x14ac:dyDescent="0.25">
      <c r="A19" s="7" t="s">
        <v>16</v>
      </c>
      <c r="B19" s="8" t="s">
        <v>57</v>
      </c>
      <c r="C19" s="4">
        <v>0.27500000000000002</v>
      </c>
    </row>
    <row r="20" spans="1:3" ht="21" thickBot="1" x14ac:dyDescent="0.3">
      <c r="A20" s="7" t="s">
        <v>17</v>
      </c>
      <c r="B20" s="7" t="s">
        <v>19</v>
      </c>
      <c r="C20" s="4">
        <v>0.66</v>
      </c>
    </row>
    <row r="21" spans="1:3" s="5" customFormat="1" ht="13.5" customHeight="1" thickBot="1" x14ac:dyDescent="0.3">
      <c r="A21" s="84" t="s">
        <v>8</v>
      </c>
      <c r="B21" s="85"/>
      <c r="C21" s="3"/>
    </row>
    <row r="22" spans="1:3" x14ac:dyDescent="0.25">
      <c r="A22" s="7" t="s">
        <v>45</v>
      </c>
      <c r="B22" s="8" t="s">
        <v>107</v>
      </c>
      <c r="C22" s="4">
        <v>0</v>
      </c>
    </row>
    <row r="23" spans="1:3" x14ac:dyDescent="0.25">
      <c r="A23" s="7" t="s">
        <v>15</v>
      </c>
      <c r="B23" s="8" t="s">
        <v>58</v>
      </c>
      <c r="C23" s="4">
        <v>0</v>
      </c>
    </row>
    <row r="24" spans="1:3" ht="31.2" x14ac:dyDescent="0.25">
      <c r="A24" s="7" t="s">
        <v>16</v>
      </c>
      <c r="B24" s="8" t="s">
        <v>59</v>
      </c>
      <c r="C24" s="4">
        <v>0.27500000000000002</v>
      </c>
    </row>
    <row r="25" spans="1:3" ht="21.6" thickBot="1" x14ac:dyDescent="0.3">
      <c r="A25" s="7" t="s">
        <v>17</v>
      </c>
      <c r="B25" s="8" t="s">
        <v>60</v>
      </c>
      <c r="C25" s="4">
        <v>0.66</v>
      </c>
    </row>
    <row r="26" spans="1:3" s="5" customFormat="1" ht="13.5" customHeight="1" thickBot="1" x14ac:dyDescent="0.3">
      <c r="A26" s="84" t="s">
        <v>9</v>
      </c>
      <c r="B26" s="85"/>
      <c r="C26" s="3"/>
    </row>
    <row r="27" spans="1:3" x14ac:dyDescent="0.25">
      <c r="A27" s="7" t="s">
        <v>45</v>
      </c>
      <c r="B27" s="8" t="s">
        <v>107</v>
      </c>
      <c r="C27" s="4">
        <v>0</v>
      </c>
    </row>
    <row r="28" spans="1:3" x14ac:dyDescent="0.25">
      <c r="A28" s="7" t="s">
        <v>15</v>
      </c>
      <c r="B28" s="8" t="s">
        <v>20</v>
      </c>
      <c r="C28" s="4">
        <v>0</v>
      </c>
    </row>
    <row r="29" spans="1:3" ht="21" x14ac:dyDescent="0.25">
      <c r="A29" s="7" t="s">
        <v>16</v>
      </c>
      <c r="B29" s="8" t="s">
        <v>21</v>
      </c>
      <c r="C29" s="4">
        <v>0.27500000000000002</v>
      </c>
    </row>
    <row r="30" spans="1:3" ht="21.6" thickBot="1" x14ac:dyDescent="0.3">
      <c r="A30" s="7" t="s">
        <v>17</v>
      </c>
      <c r="B30" s="8" t="s">
        <v>61</v>
      </c>
      <c r="C30" s="4">
        <v>0.66</v>
      </c>
    </row>
    <row r="31" spans="1:3" s="5" customFormat="1" ht="13.5" customHeight="1" thickBot="1" x14ac:dyDescent="0.3">
      <c r="A31" s="84" t="s">
        <v>10</v>
      </c>
      <c r="B31" s="85"/>
      <c r="C31" s="3"/>
    </row>
    <row r="32" spans="1:3" x14ac:dyDescent="0.25">
      <c r="A32" s="7" t="s">
        <v>45</v>
      </c>
      <c r="B32" s="8" t="s">
        <v>107</v>
      </c>
      <c r="C32" s="4">
        <v>0</v>
      </c>
    </row>
    <row r="33" spans="1:3" ht="13.5" customHeight="1" x14ac:dyDescent="0.25">
      <c r="A33" s="7" t="s">
        <v>15</v>
      </c>
      <c r="B33" s="8" t="s">
        <v>22</v>
      </c>
      <c r="C33" s="4">
        <v>0</v>
      </c>
    </row>
    <row r="34" spans="1:3" ht="21" x14ac:dyDescent="0.25">
      <c r="A34" s="7" t="s">
        <v>3</v>
      </c>
      <c r="B34" s="8" t="s">
        <v>62</v>
      </c>
      <c r="C34" s="4">
        <v>0.1</v>
      </c>
    </row>
    <row r="35" spans="1:3" ht="21" x14ac:dyDescent="0.25">
      <c r="A35" s="7" t="s">
        <v>63</v>
      </c>
      <c r="B35" s="8" t="s">
        <v>64</v>
      </c>
      <c r="C35" s="4">
        <v>0.3</v>
      </c>
    </row>
    <row r="36" spans="1:3" ht="21" x14ac:dyDescent="0.25">
      <c r="A36" s="7" t="s">
        <v>65</v>
      </c>
      <c r="B36" s="8" t="s">
        <v>66</v>
      </c>
      <c r="C36" s="4">
        <v>0.4</v>
      </c>
    </row>
    <row r="37" spans="1:3" ht="21.6" thickBot="1" x14ac:dyDescent="0.3">
      <c r="A37" s="7" t="s">
        <v>2</v>
      </c>
      <c r="B37" s="8" t="s">
        <v>67</v>
      </c>
      <c r="C37" s="4">
        <v>0.5</v>
      </c>
    </row>
    <row r="38" spans="1:3" s="5" customFormat="1" ht="13.8" thickBot="1" x14ac:dyDescent="0.3">
      <c r="A38" s="84" t="s">
        <v>111</v>
      </c>
      <c r="B38" s="85"/>
      <c r="C38" s="3"/>
    </row>
    <row r="39" spans="1:3" x14ac:dyDescent="0.25">
      <c r="A39" s="7" t="s">
        <v>45</v>
      </c>
      <c r="B39" s="8" t="s">
        <v>107</v>
      </c>
      <c r="C39" s="4">
        <v>1</v>
      </c>
    </row>
    <row r="40" spans="1:3" x14ac:dyDescent="0.25">
      <c r="A40" s="7" t="s">
        <v>17</v>
      </c>
      <c r="B40" s="8" t="s">
        <v>26</v>
      </c>
      <c r="C40" s="4">
        <v>0.84</v>
      </c>
    </row>
    <row r="41" spans="1:3" x14ac:dyDescent="0.25">
      <c r="A41" s="7" t="s">
        <v>24</v>
      </c>
      <c r="B41" s="8" t="s">
        <v>68</v>
      </c>
      <c r="C41" s="4">
        <v>0.68</v>
      </c>
    </row>
    <row r="42" spans="1:3" x14ac:dyDescent="0.25">
      <c r="A42" s="7" t="s">
        <v>23</v>
      </c>
      <c r="B42" s="8" t="s">
        <v>69</v>
      </c>
      <c r="C42" s="4">
        <v>0.51</v>
      </c>
    </row>
    <row r="43" spans="1:3" ht="13.8" thickBot="1" x14ac:dyDescent="0.3">
      <c r="A43" s="7" t="s">
        <v>15</v>
      </c>
      <c r="B43" s="8" t="s">
        <v>25</v>
      </c>
      <c r="C43" s="4">
        <v>0</v>
      </c>
    </row>
    <row r="44" spans="1:3" ht="13.8" thickBot="1" x14ac:dyDescent="0.3">
      <c r="A44" s="84" t="s">
        <v>72</v>
      </c>
      <c r="B44" s="85"/>
    </row>
    <row r="45" spans="1:3" x14ac:dyDescent="0.25">
      <c r="A45" s="10" t="s">
        <v>45</v>
      </c>
      <c r="B45" s="7" t="s">
        <v>107</v>
      </c>
      <c r="C45" s="4">
        <v>0</v>
      </c>
    </row>
    <row r="46" spans="1:3" x14ac:dyDescent="0.25">
      <c r="A46" s="10" t="s">
        <v>32</v>
      </c>
      <c r="B46" s="7" t="s">
        <v>73</v>
      </c>
      <c r="C46" s="4">
        <v>0</v>
      </c>
    </row>
    <row r="47" spans="1:3" ht="13.8" thickBot="1" x14ac:dyDescent="0.3">
      <c r="A47" s="10" t="s">
        <v>33</v>
      </c>
      <c r="B47" s="7" t="s">
        <v>74</v>
      </c>
      <c r="C47" s="4">
        <v>1</v>
      </c>
    </row>
    <row r="48" spans="1:3" ht="13.8" thickBot="1" x14ac:dyDescent="0.3">
      <c r="A48" s="86" t="s">
        <v>103</v>
      </c>
      <c r="B48" s="85"/>
    </row>
    <row r="49" spans="1:3" x14ac:dyDescent="0.25">
      <c r="A49" s="7" t="s">
        <v>93</v>
      </c>
      <c r="B49" s="8" t="s">
        <v>107</v>
      </c>
      <c r="C49" s="4">
        <v>1</v>
      </c>
    </row>
    <row r="50" spans="1:3" x14ac:dyDescent="0.25">
      <c r="A50" s="7" t="s">
        <v>3</v>
      </c>
      <c r="B50" s="8" t="s">
        <v>94</v>
      </c>
      <c r="C50" s="4">
        <v>0.5</v>
      </c>
    </row>
    <row r="51" spans="1:3" x14ac:dyDescent="0.25">
      <c r="A51" s="7" t="s">
        <v>11</v>
      </c>
      <c r="B51" s="8" t="s">
        <v>95</v>
      </c>
      <c r="C51" s="4">
        <v>1</v>
      </c>
    </row>
    <row r="52" spans="1:3" ht="13.8" thickBot="1" x14ac:dyDescent="0.3">
      <c r="A52" s="7" t="s">
        <v>2</v>
      </c>
      <c r="B52" s="8" t="s">
        <v>96</v>
      </c>
      <c r="C52" s="4">
        <v>1.51</v>
      </c>
    </row>
    <row r="53" spans="1:3" ht="13.8" thickBot="1" x14ac:dyDescent="0.3">
      <c r="A53" s="86" t="s">
        <v>104</v>
      </c>
      <c r="B53" s="85"/>
    </row>
    <row r="54" spans="1:3" x14ac:dyDescent="0.25">
      <c r="A54" s="7" t="s">
        <v>93</v>
      </c>
      <c r="B54" s="8" t="s">
        <v>107</v>
      </c>
      <c r="C54" s="4">
        <v>1</v>
      </c>
    </row>
    <row r="55" spans="1:3" x14ac:dyDescent="0.25">
      <c r="A55" s="7" t="s">
        <v>3</v>
      </c>
      <c r="B55" s="8" t="s">
        <v>97</v>
      </c>
      <c r="C55" s="4">
        <v>0.5</v>
      </c>
    </row>
    <row r="56" spans="1:3" x14ac:dyDescent="0.25">
      <c r="A56" s="7" t="s">
        <v>11</v>
      </c>
      <c r="B56" s="8" t="s">
        <v>98</v>
      </c>
      <c r="C56" s="4">
        <v>1</v>
      </c>
    </row>
    <row r="57" spans="1:3" ht="13.8" thickBot="1" x14ac:dyDescent="0.3">
      <c r="A57" s="7" t="s">
        <v>2</v>
      </c>
      <c r="B57" s="8" t="s">
        <v>99</v>
      </c>
      <c r="C57" s="4">
        <v>1.51</v>
      </c>
    </row>
    <row r="58" spans="1:3" ht="13.8" thickBot="1" x14ac:dyDescent="0.3">
      <c r="A58" s="86" t="s">
        <v>105</v>
      </c>
      <c r="B58" s="85"/>
    </row>
    <row r="59" spans="1:3" x14ac:dyDescent="0.25">
      <c r="A59" s="7" t="s">
        <v>93</v>
      </c>
      <c r="B59" s="8" t="s">
        <v>107</v>
      </c>
      <c r="C59" s="4">
        <v>1</v>
      </c>
    </row>
    <row r="60" spans="1:3" x14ac:dyDescent="0.25">
      <c r="A60" s="7" t="s">
        <v>3</v>
      </c>
      <c r="B60" s="8" t="s">
        <v>100</v>
      </c>
      <c r="C60" s="4">
        <v>0.5</v>
      </c>
    </row>
    <row r="61" spans="1:3" x14ac:dyDescent="0.25">
      <c r="A61" s="7" t="s">
        <v>11</v>
      </c>
      <c r="B61" s="8" t="s">
        <v>101</v>
      </c>
      <c r="C61" s="4">
        <v>1</v>
      </c>
    </row>
    <row r="62" spans="1:3" x14ac:dyDescent="0.25">
      <c r="A62" s="7" t="s">
        <v>2</v>
      </c>
      <c r="B62" s="8" t="s">
        <v>102</v>
      </c>
      <c r="C62" s="4">
        <v>1.51</v>
      </c>
    </row>
  </sheetData>
  <mergeCells count="12">
    <mergeCell ref="A48:B48"/>
    <mergeCell ref="A53:B53"/>
    <mergeCell ref="A58:B58"/>
    <mergeCell ref="A31:B31"/>
    <mergeCell ref="A44:B44"/>
    <mergeCell ref="A26:B26"/>
    <mergeCell ref="A38:B38"/>
    <mergeCell ref="A1:B1"/>
    <mergeCell ref="A6:B6"/>
    <mergeCell ref="A11:B11"/>
    <mergeCell ref="A16:B16"/>
    <mergeCell ref="A21:B2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9"/>
  <sheetViews>
    <sheetView workbookViewId="0">
      <selection activeCell="B1" sqref="B1"/>
    </sheetView>
  </sheetViews>
  <sheetFormatPr defaultRowHeight="13.2" x14ac:dyDescent="0.25"/>
  <cols>
    <col min="1" max="1" width="36.6640625" customWidth="1"/>
    <col min="2" max="2" width="40.77734375" customWidth="1"/>
  </cols>
  <sheetData>
    <row r="1" spans="1:2" x14ac:dyDescent="0.25">
      <c r="A1" s="5" t="s">
        <v>37</v>
      </c>
      <c r="B1" s="5" t="e">
        <f>#REF!</f>
        <v>#REF!</v>
      </c>
    </row>
    <row r="2" spans="1:2" x14ac:dyDescent="0.25">
      <c r="A2" s="5" t="s">
        <v>38</v>
      </c>
      <c r="B2" t="b">
        <v>1</v>
      </c>
    </row>
    <row r="3" spans="1:2" x14ac:dyDescent="0.25">
      <c r="A3" s="5" t="s">
        <v>39</v>
      </c>
      <c r="B3" t="s">
        <v>71</v>
      </c>
    </row>
    <row r="4" spans="1:2" x14ac:dyDescent="0.25">
      <c r="A4" s="5" t="s">
        <v>40</v>
      </c>
      <c r="B4" t="s">
        <v>2</v>
      </c>
    </row>
    <row r="5" spans="1:2" x14ac:dyDescent="0.25">
      <c r="A5" s="5" t="s">
        <v>41</v>
      </c>
      <c r="B5" t="s">
        <v>2</v>
      </c>
    </row>
    <row r="6" spans="1:2" x14ac:dyDescent="0.25">
      <c r="A6" s="5" t="s">
        <v>42</v>
      </c>
      <c r="B6" t="s">
        <v>2</v>
      </c>
    </row>
    <row r="7" spans="1:2" x14ac:dyDescent="0.25">
      <c r="A7" s="5" t="s">
        <v>43</v>
      </c>
      <c r="B7">
        <v>4</v>
      </c>
    </row>
    <row r="8" spans="1:2" x14ac:dyDescent="0.25">
      <c r="A8" s="5" t="s">
        <v>70</v>
      </c>
      <c r="B8" t="b">
        <v>0</v>
      </c>
    </row>
    <row r="9" spans="1:2" x14ac:dyDescent="0.25">
      <c r="A9" s="5" t="s">
        <v>108</v>
      </c>
      <c r="B9">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5:AV6"/>
  <sheetViews>
    <sheetView workbookViewId="0">
      <selection activeCell="X6" sqref="X6"/>
    </sheetView>
  </sheetViews>
  <sheetFormatPr defaultRowHeight="13.2" x14ac:dyDescent="0.25"/>
  <cols>
    <col min="1" max="1" width="9.109375" style="37"/>
    <col min="2" max="21" width="9.109375" style="12"/>
    <col min="23" max="24" width="9.109375" style="12"/>
  </cols>
  <sheetData>
    <row r="5" spans="1:48" ht="14.4" x14ac:dyDescent="0.3">
      <c r="AA5" s="13" t="s">
        <v>76</v>
      </c>
      <c r="AB5" s="13" t="s">
        <v>77</v>
      </c>
      <c r="AC5" s="13" t="s">
        <v>78</v>
      </c>
      <c r="AD5" s="13" t="s">
        <v>79</v>
      </c>
      <c r="AE5" s="13" t="s">
        <v>34</v>
      </c>
      <c r="AF5" s="13" t="s">
        <v>35</v>
      </c>
      <c r="AG5" s="13" t="s">
        <v>80</v>
      </c>
      <c r="AH5" s="13" t="s">
        <v>81</v>
      </c>
      <c r="AI5" s="13" t="s">
        <v>82</v>
      </c>
      <c r="AJ5" s="13" t="s">
        <v>83</v>
      </c>
      <c r="AK5" s="13" t="s">
        <v>84</v>
      </c>
      <c r="AL5" s="13" t="s">
        <v>85</v>
      </c>
      <c r="AM5" s="13" t="s">
        <v>28</v>
      </c>
      <c r="AN5" s="13" t="s">
        <v>86</v>
      </c>
      <c r="AO5" s="13" t="s">
        <v>27</v>
      </c>
      <c r="AP5" s="13" t="s">
        <v>87</v>
      </c>
      <c r="AQ5" s="13" t="s">
        <v>88</v>
      </c>
      <c r="AR5" s="13" t="s">
        <v>89</v>
      </c>
      <c r="AS5" s="13" t="s">
        <v>90</v>
      </c>
      <c r="AT5" s="13" t="s">
        <v>91</v>
      </c>
      <c r="AU5" s="13" t="s">
        <v>92</v>
      </c>
      <c r="AV5" s="16" t="s">
        <v>106</v>
      </c>
    </row>
    <row r="6" spans="1:48" ht="12.75" customHeight="1" x14ac:dyDescent="0.25">
      <c r="A6" s="38"/>
      <c r="B6" s="26"/>
      <c r="C6" s="26"/>
      <c r="D6" s="26"/>
      <c r="E6" s="42" t="s">
        <v>45</v>
      </c>
      <c r="F6" s="27" t="s">
        <v>45</v>
      </c>
      <c r="G6" s="27"/>
      <c r="H6" s="27" t="s">
        <v>45</v>
      </c>
      <c r="I6" s="27"/>
      <c r="J6" s="27" t="s">
        <v>45</v>
      </c>
      <c r="K6" s="27"/>
      <c r="L6" s="27" t="s">
        <v>45</v>
      </c>
      <c r="M6" s="27"/>
      <c r="N6" s="27" t="s">
        <v>45</v>
      </c>
      <c r="O6" s="27"/>
      <c r="P6" s="27" t="s">
        <v>45</v>
      </c>
      <c r="Q6" s="27"/>
      <c r="R6" s="31" t="s">
        <v>45</v>
      </c>
      <c r="S6" s="27"/>
      <c r="T6" s="31" t="s">
        <v>15</v>
      </c>
      <c r="U6" s="27"/>
      <c r="V6" s="28" t="str">
        <f>IF($AV6,"INCOMPLETE", IF(AT6&lt;0,0,AT6))</f>
        <v>INCOMPLETE</v>
      </c>
      <c r="W6" s="34"/>
      <c r="X6" s="50"/>
      <c r="Y6" s="40"/>
      <c r="Z6" s="40"/>
      <c r="AA6">
        <f>IF( $AV6 = FALSE,VLOOKUP($F6,Access_Vector,3,FALSE),0)</f>
        <v>0</v>
      </c>
      <c r="AB6">
        <f>IF( $AV6= FALSE,VLOOKUP($H6,Access_Complexity,3,FALSE),0)</f>
        <v>0</v>
      </c>
      <c r="AC6">
        <f>IF($AV6=FALSE,VLOOKUP($J6,Authentication,3,FALSE),0)</f>
        <v>0</v>
      </c>
      <c r="AD6">
        <f>IF( $AV6=FALSE,VLOOKUP($L6,Confidentiality_Impact,3,FALSE),0)</f>
        <v>0</v>
      </c>
      <c r="AE6">
        <f>IF( $AV6=FALSE,VLOOKUP($N6,Integrity_Impact,3,FALSE),0)</f>
        <v>0</v>
      </c>
      <c r="AF6">
        <f>IF( $AV6=FALSE,VLOOKUP($P6,Availability_Impact,3,FALSE),0)</f>
        <v>0</v>
      </c>
      <c r="AG6">
        <f>IF($AV6=FALSE, ROUND(((0.6*$AM6)+(0.4*$AN6)-1.5)*$AO6,1), 0)</f>
        <v>0</v>
      </c>
      <c r="AH6">
        <f>IF( $AV6=FALSE,VLOOKUP($R6,Collateral_Damage_Potential,3,FALSE),0)</f>
        <v>0</v>
      </c>
      <c r="AI6">
        <f>IF($AV6=FALSE,VLOOKUP($T6,Awareness,3,FALSE),0)</f>
        <v>0</v>
      </c>
      <c r="AJ6">
        <f>IF( $AV6=FALSE,VLOOKUP(Properties!$B$4, Confidentiality_Requirement,3,FALSE),0)</f>
        <v>0</v>
      </c>
      <c r="AK6">
        <f>IF( $AV6=FALSE,VLOOKUP(Properties!$B$5, Integrity_Requirement,3,FALSE),0)</f>
        <v>0</v>
      </c>
      <c r="AL6">
        <f>IF( $AV6=FALSE,VLOOKUP(Properties!$B$6, Availability_Requirement,3,FALSE),0)</f>
        <v>0</v>
      </c>
      <c r="AM6" s="14">
        <f>10.41*(1-(1-$AD6)*(1-$AE6)*(1-$AF6))</f>
        <v>0</v>
      </c>
      <c r="AN6" s="14">
        <f>20*$AB6*$AC6*$AA6</f>
        <v>0</v>
      </c>
      <c r="AO6" s="4">
        <f>IF(($AM6 &gt; 0), 1.176, 0)</f>
        <v>0</v>
      </c>
      <c r="AP6" s="15">
        <f>ROUND(MIN(10, 10.41*(1-(1-($AD6*$AJ6))*(1-($AE6*$AK6))*(1-($AF6*$AL6)))),1)</f>
        <v>0</v>
      </c>
      <c r="AQ6" s="15">
        <f>ROUND(($AR6*1*1*1),1)</f>
        <v>0</v>
      </c>
      <c r="AR6" s="15">
        <f>ROUND((((0.6*$AP6)+(0.4*$AN6)-1.5)*$AO6),1)</f>
        <v>0</v>
      </c>
      <c r="AS6" s="15">
        <f>ROUND(($AQ6+(10-$AQ6)*$AH6),1)</f>
        <v>0</v>
      </c>
      <c r="AT6">
        <f>+IF($AU6=0, $AG6, $AU6)</f>
        <v>0</v>
      </c>
      <c r="AU6">
        <f>ROUND(($AS6-($AS6 * $AI6)),1)</f>
        <v>0</v>
      </c>
      <c r="AV6" t="b">
        <f>IF(OR(E6="Undefined",F6="Undefined",H6="Undefined",J6="Undefined",L6="Undefined",N6="Undefined",P6="Undefined",R6="Undefined",T6="Undefined"),TRUE, FALSE)</f>
        <v>1</v>
      </c>
    </row>
  </sheetData>
  <conditionalFormatting sqref="V6">
    <cfRule type="cellIs" dxfId="8" priority="2" operator="equal">
      <formula>"INCOMPLETE"</formula>
    </cfRule>
  </conditionalFormatting>
  <dataValidations count="9">
    <dataValidation type="list" allowBlank="1" showErrorMessage="1" sqref="T6">
      <formula1>AwarenessValues</formula1>
    </dataValidation>
    <dataValidation type="list" allowBlank="1" showErrorMessage="1" sqref="E6">
      <formula1>ImpactsSafetyEfficacyValues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
      <formula1>CollateralDamagePotentialValues</formula1>
    </dataValidation>
    <dataValidation type="list" allowBlank="1" showInputMessage="1" showErrorMessage="1" prompt="This metric measures the impact to availability of the system in light of a successful threat." sqref="P6">
      <formula1>AvailabilityImpactValues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
      <formula1>IntegrityImpactValues</formula1>
    </dataValidation>
    <dataValidation type="list" allowBlank="1" showInputMessage="1" showErrorMessage="1" prompt="This metric measures the impact on confidentiality of a successfully exploited vulnerability." sqref="L6">
      <formula1>ConfidentialityImpactValues</formula1>
    </dataValidation>
    <dataValidation type="list" allowBlank="1" showInputMessage="1" showErrorMessage="1" prompt="This metric gauges the strength of the authentication process used to exploit the vulnerability" sqref="J6">
      <formula1>AuthenticationValues</formula1>
    </dataValidation>
    <dataValidation type="list" allowBlank="1" showInputMessage="1" showErrorMessage="1" prompt="This metric measures the complexity of the attack required to exploit the vulnerability." sqref="H6">
      <formula1>AccessComplexityValues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nge" sqref="F6">
      <formula1>AccessVectorValues</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 operator="lessThanOrEqual" id="{0D9AEC2D-423A-4729-8C0E-D9A2BFB3C160}">
            <xm:f>Properties!$B$7</xm:f>
            <x14:dxf>
              <fill>
                <patternFill>
                  <bgColor rgb="FF92D050"/>
                </patternFill>
              </fill>
            </x14:dxf>
          </x14:cfRule>
          <x14:cfRule type="cellIs" priority="4" operator="greaterThanOrEqual" id="{457DCE78-EA7A-4E6A-95E5-8C8A1BB1544E}">
            <xm:f>Properties!$B$7</xm:f>
            <x14:dxf>
              <fill>
                <patternFill>
                  <bgColor rgb="FFFF0000"/>
                </patternFill>
              </fill>
            </x14:dxf>
          </x14:cfRule>
          <xm:sqref>V6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5:AV6"/>
  <sheetViews>
    <sheetView workbookViewId="0">
      <selection activeCell="Y6" sqref="Y6"/>
    </sheetView>
  </sheetViews>
  <sheetFormatPr defaultRowHeight="13.2" x14ac:dyDescent="0.25"/>
  <cols>
    <col min="1" max="1" width="9.109375" style="37"/>
    <col min="2" max="4" width="9.109375" style="12"/>
    <col min="6" max="21" width="9.109375" style="12"/>
    <col min="24" max="25" width="9.109375" style="12"/>
  </cols>
  <sheetData>
    <row r="5" spans="1:48" ht="14.4" x14ac:dyDescent="0.3">
      <c r="AA5" s="13" t="s">
        <v>76</v>
      </c>
      <c r="AB5" s="13" t="s">
        <v>77</v>
      </c>
      <c r="AC5" s="13" t="s">
        <v>78</v>
      </c>
      <c r="AD5" s="13" t="s">
        <v>79</v>
      </c>
      <c r="AE5" s="13" t="s">
        <v>34</v>
      </c>
      <c r="AF5" s="13" t="s">
        <v>35</v>
      </c>
      <c r="AG5" s="13" t="s">
        <v>80</v>
      </c>
      <c r="AH5" s="13" t="s">
        <v>81</v>
      </c>
      <c r="AI5" s="13" t="s">
        <v>82</v>
      </c>
      <c r="AJ5" s="13" t="s">
        <v>83</v>
      </c>
      <c r="AK5" s="13" t="s">
        <v>84</v>
      </c>
      <c r="AL5" s="13" t="s">
        <v>85</v>
      </c>
      <c r="AM5" s="13" t="s">
        <v>28</v>
      </c>
      <c r="AN5" s="13" t="s">
        <v>86</v>
      </c>
      <c r="AO5" s="13" t="s">
        <v>27</v>
      </c>
      <c r="AP5" s="13" t="s">
        <v>87</v>
      </c>
      <c r="AQ5" s="13" t="s">
        <v>88</v>
      </c>
      <c r="AR5" s="13" t="s">
        <v>89</v>
      </c>
      <c r="AS5" s="13" t="s">
        <v>90</v>
      </c>
      <c r="AT5" s="13" t="s">
        <v>91</v>
      </c>
      <c r="AU5" s="13" t="s">
        <v>92</v>
      </c>
      <c r="AV5" s="16" t="s">
        <v>106</v>
      </c>
    </row>
    <row r="6" spans="1:48" ht="343.2" x14ac:dyDescent="0.25">
      <c r="A6" s="38">
        <f>IF(ISBLANK('Pre-Mitigated VA'!A6),"",'Pre-Mitigated VA'!A6)</f>
        <v>1</v>
      </c>
      <c r="B6" s="26" t="str">
        <f>IF(ISBLANK('Pre-Mitigated VA'!B6),"",'Pre-Mitigated VA'!B6)</f>
        <v>Spoofed Human Actor, User</v>
      </c>
      <c r="C6" s="26" t="str">
        <f>IF(ISBLANK('Pre-Mitigated VA'!C6),"",'Pre-Mitigated VA'!C6)</f>
        <v>User Input to App - Spoofing</v>
      </c>
      <c r="D6" s="26" t="str">
        <f>IF(ISBLANK('Pre-Mitigated VA'!D6),"",'Pre-Mitigated VA'!D6)</f>
        <v>An adversary replaces the intended user, User, as the person controlling and interacting with the device, and the adversary can therefore perform the same operations as the intended user.</v>
      </c>
      <c r="E6" s="38" t="str">
        <f>IF(ISBLANK('Pre-Mitigated VA'!E6),"",'Pre-Mitigated VA'!E6)</f>
        <v>Yes</v>
      </c>
      <c r="F6" s="27" t="s">
        <v>45</v>
      </c>
      <c r="G6" s="27"/>
      <c r="H6" s="27" t="s">
        <v>45</v>
      </c>
      <c r="I6" s="27"/>
      <c r="J6" s="27" t="s">
        <v>45</v>
      </c>
      <c r="K6" s="27"/>
      <c r="L6" s="27" t="s">
        <v>45</v>
      </c>
      <c r="M6" s="27"/>
      <c r="N6" s="27" t="s">
        <v>45</v>
      </c>
      <c r="O6" s="27"/>
      <c r="P6" s="27" t="s">
        <v>45</v>
      </c>
      <c r="Q6" s="27"/>
      <c r="R6" s="31" t="s">
        <v>45</v>
      </c>
      <c r="S6" s="27"/>
      <c r="T6" s="27" t="s">
        <v>15</v>
      </c>
      <c r="U6" s="27"/>
      <c r="V6" s="28">
        <f>'Pre-Mitigated VA'!V6</f>
        <v>5.6</v>
      </c>
      <c r="W6" s="30" t="str">
        <f>IF($AV6,"INCOMPLETE", IF(AT6&lt;0,0,AT6))</f>
        <v>INCOMPLETE</v>
      </c>
      <c r="X6" s="34"/>
      <c r="Y6" s="34"/>
      <c r="AA6">
        <f>IF( $AV6 = FALSE,VLOOKUP($F6,Access_Vector,3,FALSE),0)</f>
        <v>0</v>
      </c>
      <c r="AB6">
        <f>IF( $AV6= FALSE,VLOOKUP($H6,Access_Complexity,3,FALSE),0)</f>
        <v>0</v>
      </c>
      <c r="AC6">
        <f>IF($AV6=FALSE,VLOOKUP($J6,Authentication,3,FALSE),0)</f>
        <v>0</v>
      </c>
      <c r="AD6">
        <f>IF( $AV6=FALSE,VLOOKUP($L6,Confidentiality_Impact,3,FALSE),0)</f>
        <v>0</v>
      </c>
      <c r="AE6">
        <f>IF( $AV6=FALSE,VLOOKUP($N6,Integrity_Impact,3,FALSE),0)</f>
        <v>0</v>
      </c>
      <c r="AF6">
        <f>IF( $AV6=FALSE,VLOOKUP($P6,Availability_Impact,3,FALSE),0)</f>
        <v>0</v>
      </c>
      <c r="AG6">
        <f>IF($AV6=FALSE, ROUND(((0.6*$AM6)+(0.4*$AN6)-1.5)*$AO6,1), 0)</f>
        <v>0</v>
      </c>
      <c r="AH6">
        <f>IF( $AV6=FALSE,VLOOKUP($R6,Collateral_Damage_Potential,3,FALSE),0)</f>
        <v>0</v>
      </c>
      <c r="AI6">
        <f>IF($AV6=FALSE,VLOOKUP($T6,Awareness,3,FALSE),0)</f>
        <v>0</v>
      </c>
      <c r="AJ6">
        <f>IF( $AV6=FALSE,VLOOKUP(Properties!$B$4, Confidentiality_Requirement,3,FALSE),0)</f>
        <v>0</v>
      </c>
      <c r="AK6">
        <f>IF( $AV6=FALSE,VLOOKUP(Properties!$B$5, Integrity_Requirement,3,FALSE),0)</f>
        <v>0</v>
      </c>
      <c r="AL6">
        <f>IF( $AV6=FALSE,VLOOKUP(Properties!$B$6, Availability_Requirement,3,FALSE),0)</f>
        <v>0</v>
      </c>
      <c r="AM6" s="14">
        <f>10.41*(1-(1-$AD6)*(1-$AE6)*(1-$AF6))</f>
        <v>0</v>
      </c>
      <c r="AN6" s="14">
        <f>20*$AB6*$AC6*$AA6</f>
        <v>0</v>
      </c>
      <c r="AO6" s="4">
        <f>IF(($AM6 &gt; 0), 1.176, 0)</f>
        <v>0</v>
      </c>
      <c r="AP6" s="15">
        <f>ROUND(MIN(10, 10.41*(1-(1-($AD6*$AJ6))*(1-($AE6*$AK6))*(1-($AF6*$AL6)))),1)</f>
        <v>0</v>
      </c>
      <c r="AQ6" s="15">
        <f>ROUND(($AR6*1*1*1),1)</f>
        <v>0</v>
      </c>
      <c r="AR6" s="15">
        <f>ROUND((((0.6*$AP6)+(0.4*$AN6)-1.5)*$AO6),1)</f>
        <v>0</v>
      </c>
      <c r="AS6" s="15">
        <f>ROUND(($AQ6+(10-$AQ6)*$AH6),1)</f>
        <v>0</v>
      </c>
      <c r="AT6">
        <f>+IF($AU6=0, $AG6, $AU6)</f>
        <v>0</v>
      </c>
      <c r="AU6">
        <f>ROUND(($AS6-($AS6 * $AI6)),1)</f>
        <v>0</v>
      </c>
      <c r="AV6" t="b">
        <f>IF(OR(F6="Undefined",H6="Undefined",J6="Undefined",L6="Undefined",N6="Undefined",P6="Undefined",R6="Undefined",T6="Undefined",'Pre-Mitigated VA'!$VA6=TRUE),TRUE, FALSE)</f>
        <v>1</v>
      </c>
    </row>
  </sheetData>
  <conditionalFormatting sqref="V6">
    <cfRule type="cellIs" dxfId="5" priority="1" operator="equal">
      <formula>"""INCOMPLETE"""</formula>
    </cfRule>
    <cfRule type="cellIs" dxfId="4" priority="5" operator="lessThan">
      <formula>4</formula>
    </cfRule>
    <cfRule type="cellIs" dxfId="3" priority="6" operator="greaterThanOrEqual">
      <formula>4</formula>
    </cfRule>
  </conditionalFormatting>
  <conditionalFormatting sqref="W6">
    <cfRule type="cellIs" dxfId="2" priority="2" operator="equal">
      <formula>"INCOMPLETE"</formula>
    </cfRule>
    <cfRule type="cellIs" dxfId="1" priority="3" operator="lessThan">
      <formula>4</formula>
    </cfRule>
    <cfRule type="cellIs" dxfId="0" priority="4" operator="greaterThanOrEqual">
      <formula>4</formula>
    </cfRule>
  </conditionalFormatting>
  <dataValidations count="9">
    <dataValidation allowBlank="1" showInputMessage="1" showErrorMessage="1" prompt="This metric indicates if this potential vulnerability affect the safety or efficacy" sqref="E6"/>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nge" sqref="F6">
      <formula1>AccessVectorValues</formula1>
    </dataValidation>
    <dataValidation type="list" allowBlank="1" showInputMessage="1" showErrorMessage="1" prompt="This metric measures the complexity of the attack required to exploit the vulnerability." sqref="H6">
      <formula1>AccessComplexityValues</formula1>
    </dataValidation>
    <dataValidation type="list" allowBlank="1" showInputMessage="1" showErrorMessage="1" prompt="This metric gauges the strength of the authentication process used to exploit the vulnerability" sqref="J6">
      <formula1>AuthenticationValues</formula1>
    </dataValidation>
    <dataValidation type="list" allowBlank="1" showInputMessage="1" showErrorMessage="1" prompt="This metric measures the impact on confidentiality of a successfully exploited vulnerability." sqref="L6">
      <formula1>ConfidentialityImpactValues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
      <formula1>IntegrityImpactValues</formula1>
    </dataValidation>
    <dataValidation type="list" allowBlank="1" showInputMessage="1" showErrorMessage="1" prompt="This metric measures the impact to availability of the system in light of a successful threat." sqref="P6">
      <formula1>AvailabilityImpactValues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
      <formula1>CollateralDamagePotentialValues</formula1>
    </dataValidation>
    <dataValidation type="list" allowBlank="1" showInputMessage="1" showErrorMessage="1" prompt="This metric measures the ability of a vulnerabilities exploit to be detected by the product or it’s user. It is meant as an environment-specific indicator to lower the scoring as a result of an exploit being detected." sqref="T6">
      <formula1>AwarenessValues</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005"/>
  <sheetViews>
    <sheetView zoomScale="90" zoomScaleNormal="90" workbookViewId="0">
      <selection activeCell="A6" sqref="A6"/>
    </sheetView>
  </sheetViews>
  <sheetFormatPr defaultColWidth="9.109375" defaultRowHeight="13.2" x14ac:dyDescent="0.25"/>
  <cols>
    <col min="1" max="1" width="10.44140625" style="53" bestFit="1" customWidth="1"/>
    <col min="2" max="2" width="4.109375" style="54" bestFit="1" customWidth="1"/>
    <col min="3" max="3" width="15.5546875" style="55" bestFit="1" customWidth="1"/>
    <col min="4" max="4" width="20.33203125" style="55" customWidth="1"/>
    <col min="5" max="5" width="47.33203125" style="55" customWidth="1"/>
    <col min="6" max="6" width="8.77734375" style="56" customWidth="1"/>
    <col min="7" max="7" width="10.21875" style="54" customWidth="1"/>
    <col min="8" max="8" width="26.44140625" style="53" customWidth="1"/>
    <col min="9" max="9" width="10.21875" style="54" customWidth="1"/>
    <col min="10" max="16384" width="9.109375" style="5"/>
  </cols>
  <sheetData>
    <row r="1" spans="1:9" customFormat="1" ht="24.6" x14ac:dyDescent="0.25">
      <c r="A1" s="87" t="e">
        <f>Properties!B1&amp;" Vulnerability Assessment"</f>
        <v>#REF!</v>
      </c>
      <c r="B1" s="87"/>
      <c r="C1" s="87"/>
      <c r="D1" s="87"/>
      <c r="E1" s="87"/>
      <c r="F1" s="87"/>
      <c r="G1" s="87"/>
      <c r="H1" s="87"/>
      <c r="I1" s="87"/>
    </row>
    <row r="2" spans="1:9" ht="27.75" customHeight="1" x14ac:dyDescent="0.25">
      <c r="A2" s="88" t="s">
        <v>113</v>
      </c>
      <c r="B2" s="89"/>
      <c r="C2" s="89"/>
      <c r="D2" s="89"/>
      <c r="E2" s="89"/>
      <c r="F2" s="89"/>
      <c r="G2" s="89"/>
      <c r="H2" s="89"/>
      <c r="I2" s="90"/>
    </row>
    <row r="3" spans="1:9" x14ac:dyDescent="0.25">
      <c r="A3" s="91" t="s">
        <v>36</v>
      </c>
      <c r="B3" s="91" t="s">
        <v>1</v>
      </c>
      <c r="C3" s="91" t="s">
        <v>114</v>
      </c>
      <c r="D3" s="91" t="s">
        <v>29</v>
      </c>
      <c r="E3" s="91" t="s">
        <v>0</v>
      </c>
      <c r="F3" s="91" t="s">
        <v>116</v>
      </c>
      <c r="G3" s="91" t="s">
        <v>120</v>
      </c>
      <c r="H3" s="91" t="e">
        <f>"Implemented Mitigations per DHF"&amp;#REF!&amp;"-2000, Section 9"</f>
        <v>#REF!</v>
      </c>
      <c r="I3" s="91" t="s">
        <v>121</v>
      </c>
    </row>
    <row r="4" spans="1:9" x14ac:dyDescent="0.25">
      <c r="A4" s="92"/>
      <c r="B4" s="92"/>
      <c r="C4" s="92"/>
      <c r="D4" s="92"/>
      <c r="E4" s="92"/>
      <c r="F4" s="92"/>
      <c r="G4" s="92"/>
      <c r="H4" s="92"/>
      <c r="I4" s="92"/>
    </row>
    <row r="5" spans="1:9" x14ac:dyDescent="0.25">
      <c r="A5" s="93"/>
      <c r="B5" s="93"/>
      <c r="C5" s="93"/>
      <c r="D5" s="93"/>
      <c r="E5" s="93"/>
      <c r="F5" s="93"/>
      <c r="G5" s="93"/>
      <c r="H5" s="93"/>
      <c r="I5" s="93"/>
    </row>
    <row r="6" spans="1:9" x14ac:dyDescent="0.25">
      <c r="A6" s="51"/>
      <c r="B6" s="52"/>
      <c r="C6" s="51"/>
      <c r="D6" s="51"/>
      <c r="E6" s="51"/>
      <c r="F6" s="52"/>
      <c r="G6" s="52"/>
      <c r="H6" s="51"/>
      <c r="I6" s="52"/>
    </row>
    <row r="7" spans="1:9" x14ac:dyDescent="0.25">
      <c r="A7" s="51"/>
      <c r="B7" s="52"/>
      <c r="C7" s="51"/>
      <c r="D7" s="51"/>
      <c r="E7" s="51"/>
      <c r="F7" s="52"/>
      <c r="G7" s="52"/>
      <c r="H7" s="51"/>
      <c r="I7" s="52"/>
    </row>
    <row r="8" spans="1:9" x14ac:dyDescent="0.25">
      <c r="A8" s="51"/>
      <c r="B8" s="52"/>
      <c r="C8" s="51"/>
      <c r="D8" s="51"/>
      <c r="E8" s="51"/>
      <c r="F8" s="52"/>
      <c r="G8" s="52"/>
      <c r="H8" s="51"/>
      <c r="I8" s="52"/>
    </row>
    <row r="9" spans="1:9" x14ac:dyDescent="0.25">
      <c r="A9" s="51"/>
      <c r="B9" s="52"/>
      <c r="C9" s="51"/>
      <c r="D9" s="51"/>
      <c r="E9" s="51"/>
      <c r="F9" s="52"/>
      <c r="G9" s="52"/>
      <c r="H9" s="51"/>
      <c r="I9" s="52"/>
    </row>
    <row r="10" spans="1:9" x14ac:dyDescent="0.25">
      <c r="A10" s="51"/>
      <c r="B10" s="52"/>
      <c r="C10" s="51"/>
      <c r="D10" s="51"/>
      <c r="E10" s="51"/>
      <c r="F10" s="52"/>
      <c r="G10" s="52"/>
      <c r="H10" s="51"/>
      <c r="I10" s="52"/>
    </row>
    <row r="11" spans="1:9" x14ac:dyDescent="0.25">
      <c r="A11" s="51"/>
      <c r="B11" s="52"/>
      <c r="C11" s="51"/>
      <c r="D11" s="51"/>
      <c r="E11" s="51"/>
      <c r="F11" s="52"/>
      <c r="G11" s="52"/>
      <c r="H11" s="51"/>
      <c r="I11" s="52"/>
    </row>
    <row r="12" spans="1:9" x14ac:dyDescent="0.25">
      <c r="A12" s="51"/>
      <c r="B12" s="52"/>
      <c r="C12" s="51"/>
      <c r="D12" s="51"/>
      <c r="E12" s="51"/>
      <c r="F12" s="52"/>
      <c r="G12" s="52"/>
      <c r="H12" s="51"/>
      <c r="I12" s="52"/>
    </row>
    <row r="13" spans="1:9" x14ac:dyDescent="0.25">
      <c r="A13" s="51"/>
      <c r="B13" s="52"/>
      <c r="C13" s="51"/>
      <c r="D13" s="51"/>
      <c r="E13" s="51"/>
      <c r="F13" s="52"/>
      <c r="G13" s="52"/>
      <c r="H13" s="51"/>
      <c r="I13" s="52"/>
    </row>
    <row r="14" spans="1:9" x14ac:dyDescent="0.25">
      <c r="A14" s="51"/>
      <c r="B14" s="52"/>
      <c r="C14" s="51"/>
      <c r="D14" s="51"/>
      <c r="E14" s="51"/>
      <c r="F14" s="52"/>
      <c r="G14" s="52"/>
      <c r="H14" s="51"/>
      <c r="I14" s="52"/>
    </row>
    <row r="15" spans="1:9" x14ac:dyDescent="0.25">
      <c r="A15" s="51"/>
      <c r="B15" s="52"/>
      <c r="C15" s="51"/>
      <c r="D15" s="51"/>
      <c r="E15" s="51"/>
      <c r="F15" s="52"/>
      <c r="G15" s="52"/>
      <c r="H15" s="51"/>
      <c r="I15" s="52"/>
    </row>
    <row r="16" spans="1:9" x14ac:dyDescent="0.25">
      <c r="A16" s="51"/>
      <c r="B16" s="52"/>
      <c r="C16" s="51"/>
      <c r="D16" s="51"/>
      <c r="E16" s="51"/>
      <c r="F16" s="52"/>
      <c r="G16" s="52"/>
      <c r="H16" s="51"/>
      <c r="I16" s="52"/>
    </row>
    <row r="17" spans="1:9" x14ac:dyDescent="0.25">
      <c r="A17" s="51"/>
      <c r="B17" s="52"/>
      <c r="C17" s="51"/>
      <c r="D17" s="51"/>
      <c r="E17" s="51"/>
      <c r="F17" s="52"/>
      <c r="G17" s="52"/>
      <c r="H17" s="51"/>
      <c r="I17" s="52"/>
    </row>
    <row r="18" spans="1:9" x14ac:dyDescent="0.25">
      <c r="A18" s="51"/>
      <c r="B18" s="52"/>
      <c r="C18" s="51"/>
      <c r="D18" s="51"/>
      <c r="E18" s="51"/>
      <c r="F18" s="52"/>
      <c r="G18" s="52"/>
      <c r="H18" s="51"/>
      <c r="I18" s="52"/>
    </row>
    <row r="19" spans="1:9" x14ac:dyDescent="0.25">
      <c r="A19" s="51"/>
      <c r="B19" s="52"/>
      <c r="C19" s="51"/>
      <c r="D19" s="51"/>
      <c r="E19" s="51"/>
      <c r="F19" s="52"/>
      <c r="G19" s="52"/>
      <c r="H19" s="51"/>
      <c r="I19" s="52"/>
    </row>
    <row r="20" spans="1:9" x14ac:dyDescent="0.25">
      <c r="A20" s="51"/>
      <c r="B20" s="52"/>
      <c r="C20" s="51"/>
      <c r="D20" s="51"/>
      <c r="E20" s="51"/>
      <c r="F20" s="52"/>
      <c r="G20" s="52"/>
      <c r="H20" s="51"/>
      <c r="I20" s="52"/>
    </row>
    <row r="21" spans="1:9" x14ac:dyDescent="0.25">
      <c r="A21" s="51"/>
      <c r="B21" s="52"/>
      <c r="C21" s="51"/>
      <c r="D21" s="51"/>
      <c r="E21" s="51"/>
      <c r="F21" s="52"/>
      <c r="G21" s="52"/>
      <c r="H21" s="51"/>
      <c r="I21" s="52"/>
    </row>
    <row r="22" spans="1:9" x14ac:dyDescent="0.25">
      <c r="A22" s="51"/>
      <c r="B22" s="52"/>
      <c r="C22" s="51"/>
      <c r="D22" s="51"/>
      <c r="E22" s="51"/>
      <c r="F22" s="52"/>
      <c r="G22" s="52"/>
      <c r="H22" s="51"/>
      <c r="I22" s="52"/>
    </row>
    <row r="23" spans="1:9" x14ac:dyDescent="0.25">
      <c r="A23" s="51"/>
      <c r="B23" s="52"/>
      <c r="C23" s="51"/>
      <c r="D23" s="51"/>
      <c r="E23" s="51"/>
      <c r="F23" s="52"/>
      <c r="G23" s="52"/>
      <c r="H23" s="51"/>
      <c r="I23" s="52"/>
    </row>
    <row r="24" spans="1:9" x14ac:dyDescent="0.25">
      <c r="A24" s="51"/>
      <c r="B24" s="52"/>
      <c r="C24" s="51"/>
      <c r="D24" s="51"/>
      <c r="E24" s="51"/>
      <c r="F24" s="52"/>
      <c r="G24" s="52"/>
      <c r="H24" s="51"/>
      <c r="I24" s="52"/>
    </row>
    <row r="25" spans="1:9" x14ac:dyDescent="0.25">
      <c r="A25" s="51"/>
      <c r="B25" s="52"/>
      <c r="C25" s="51"/>
      <c r="D25" s="51"/>
      <c r="E25" s="51"/>
      <c r="F25" s="52"/>
      <c r="G25" s="52"/>
      <c r="H25" s="51"/>
      <c r="I25" s="52"/>
    </row>
    <row r="26" spans="1:9" x14ac:dyDescent="0.25">
      <c r="A26" s="51"/>
      <c r="B26" s="52"/>
      <c r="C26" s="51"/>
      <c r="D26" s="51"/>
      <c r="E26" s="51"/>
      <c r="F26" s="52"/>
      <c r="G26" s="52"/>
      <c r="H26" s="51"/>
      <c r="I26" s="52"/>
    </row>
    <row r="27" spans="1:9" x14ac:dyDescent="0.25">
      <c r="A27" s="51"/>
      <c r="B27" s="52"/>
      <c r="C27" s="51"/>
      <c r="D27" s="51"/>
      <c r="E27" s="51"/>
      <c r="F27" s="52"/>
      <c r="G27" s="52"/>
      <c r="H27" s="51"/>
      <c r="I27" s="52"/>
    </row>
    <row r="28" spans="1:9" x14ac:dyDescent="0.25">
      <c r="A28" s="51"/>
      <c r="B28" s="52"/>
      <c r="C28" s="51"/>
      <c r="D28" s="51"/>
      <c r="E28" s="51"/>
      <c r="F28" s="52"/>
      <c r="G28" s="52"/>
      <c r="H28" s="51"/>
      <c r="I28" s="52"/>
    </row>
    <row r="29" spans="1:9" x14ac:dyDescent="0.25">
      <c r="A29" s="51"/>
      <c r="B29" s="52"/>
      <c r="C29" s="51"/>
      <c r="D29" s="51"/>
      <c r="E29" s="51"/>
      <c r="F29" s="52"/>
      <c r="G29" s="52"/>
      <c r="H29" s="51"/>
      <c r="I29" s="52"/>
    </row>
    <row r="30" spans="1:9" x14ac:dyDescent="0.25">
      <c r="A30" s="51"/>
      <c r="B30" s="52"/>
      <c r="C30" s="51"/>
      <c r="D30" s="51"/>
      <c r="E30" s="51"/>
      <c r="F30" s="52"/>
      <c r="G30" s="52"/>
      <c r="H30" s="51"/>
      <c r="I30" s="52"/>
    </row>
    <row r="31" spans="1:9" x14ac:dyDescent="0.25">
      <c r="A31" s="51"/>
      <c r="B31" s="52"/>
      <c r="C31" s="51"/>
      <c r="D31" s="51"/>
      <c r="E31" s="51"/>
      <c r="F31" s="52"/>
      <c r="G31" s="52"/>
      <c r="H31" s="51"/>
      <c r="I31" s="52"/>
    </row>
    <row r="32" spans="1:9" x14ac:dyDescent="0.25">
      <c r="A32" s="51"/>
      <c r="B32" s="52"/>
      <c r="C32" s="51"/>
      <c r="D32" s="51"/>
      <c r="E32" s="51"/>
      <c r="F32" s="52"/>
      <c r="G32" s="52"/>
      <c r="H32" s="51"/>
      <c r="I32" s="52"/>
    </row>
    <row r="33" spans="1:9" x14ac:dyDescent="0.25">
      <c r="A33" s="51"/>
      <c r="B33" s="52"/>
      <c r="C33" s="51"/>
      <c r="D33" s="51"/>
      <c r="E33" s="51"/>
      <c r="F33" s="52"/>
      <c r="G33" s="52"/>
      <c r="H33" s="51"/>
      <c r="I33" s="52"/>
    </row>
    <row r="34" spans="1:9" x14ac:dyDescent="0.25">
      <c r="A34" s="51"/>
      <c r="B34" s="52"/>
      <c r="C34" s="51"/>
      <c r="D34" s="51"/>
      <c r="E34" s="51"/>
      <c r="F34" s="52"/>
      <c r="G34" s="52"/>
      <c r="H34" s="51"/>
      <c r="I34" s="52"/>
    </row>
    <row r="35" spans="1:9" x14ac:dyDescent="0.25">
      <c r="A35" s="51"/>
      <c r="B35" s="52"/>
      <c r="C35" s="51"/>
      <c r="D35" s="51"/>
      <c r="E35" s="51"/>
      <c r="F35" s="52"/>
      <c r="G35" s="52"/>
      <c r="H35" s="51"/>
      <c r="I35" s="52"/>
    </row>
    <row r="36" spans="1:9" x14ac:dyDescent="0.25">
      <c r="A36" s="51"/>
      <c r="B36" s="52"/>
      <c r="C36" s="51"/>
      <c r="D36" s="51"/>
      <c r="E36" s="51"/>
      <c r="F36" s="52"/>
      <c r="G36" s="52"/>
      <c r="H36" s="51"/>
      <c r="I36" s="52"/>
    </row>
    <row r="37" spans="1:9" x14ac:dyDescent="0.25">
      <c r="A37" s="51"/>
      <c r="B37" s="52"/>
      <c r="C37" s="51"/>
      <c r="D37" s="51"/>
      <c r="E37" s="51"/>
      <c r="F37" s="52"/>
      <c r="G37" s="52"/>
      <c r="H37" s="51"/>
      <c r="I37" s="52"/>
    </row>
    <row r="38" spans="1:9" x14ac:dyDescent="0.25">
      <c r="A38" s="51"/>
      <c r="B38" s="52"/>
      <c r="C38" s="51"/>
      <c r="D38" s="51"/>
      <c r="E38" s="51"/>
      <c r="F38" s="52"/>
      <c r="G38" s="52"/>
      <c r="H38" s="51"/>
      <c r="I38" s="52"/>
    </row>
    <row r="39" spans="1:9" x14ac:dyDescent="0.25">
      <c r="A39" s="51"/>
      <c r="B39" s="52"/>
      <c r="C39" s="51"/>
      <c r="D39" s="51"/>
      <c r="E39" s="51"/>
      <c r="F39" s="52"/>
      <c r="G39" s="52"/>
      <c r="H39" s="51"/>
      <c r="I39" s="52"/>
    </row>
    <row r="40" spans="1:9" x14ac:dyDescent="0.25">
      <c r="A40" s="51"/>
      <c r="B40" s="52"/>
      <c r="C40" s="51"/>
      <c r="D40" s="51"/>
      <c r="E40" s="51"/>
      <c r="F40" s="52"/>
      <c r="G40" s="52"/>
      <c r="H40" s="51"/>
      <c r="I40" s="52"/>
    </row>
    <row r="41" spans="1:9" x14ac:dyDescent="0.25">
      <c r="A41" s="51"/>
      <c r="B41" s="52"/>
      <c r="C41" s="51"/>
      <c r="D41" s="51"/>
      <c r="E41" s="51"/>
      <c r="F41" s="52"/>
      <c r="G41" s="52"/>
      <c r="H41" s="51"/>
      <c r="I41" s="52"/>
    </row>
    <row r="42" spans="1:9" x14ac:dyDescent="0.25">
      <c r="A42" s="51"/>
      <c r="B42" s="52"/>
      <c r="C42" s="51"/>
      <c r="D42" s="51"/>
      <c r="E42" s="51"/>
      <c r="F42" s="52"/>
      <c r="G42" s="52"/>
      <c r="H42" s="51"/>
      <c r="I42" s="52"/>
    </row>
    <row r="43" spans="1:9" x14ac:dyDescent="0.25">
      <c r="A43" s="51"/>
      <c r="B43" s="52"/>
      <c r="C43" s="51"/>
      <c r="D43" s="51"/>
      <c r="E43" s="51"/>
      <c r="F43" s="52"/>
      <c r="G43" s="52"/>
      <c r="H43" s="51"/>
      <c r="I43" s="52"/>
    </row>
    <row r="44" spans="1:9" x14ac:dyDescent="0.25">
      <c r="A44" s="51"/>
      <c r="B44" s="52"/>
      <c r="C44" s="51"/>
      <c r="D44" s="51"/>
      <c r="E44" s="51"/>
      <c r="F44" s="52"/>
      <c r="G44" s="52"/>
      <c r="H44" s="51"/>
      <c r="I44" s="52"/>
    </row>
    <row r="45" spans="1:9" x14ac:dyDescent="0.25">
      <c r="A45" s="51"/>
      <c r="B45" s="52"/>
      <c r="C45" s="51"/>
      <c r="D45" s="51"/>
      <c r="E45" s="51"/>
      <c r="F45" s="52"/>
      <c r="G45" s="52"/>
      <c r="H45" s="51"/>
      <c r="I45" s="52"/>
    </row>
    <row r="46" spans="1:9" x14ac:dyDescent="0.25">
      <c r="A46" s="51"/>
      <c r="B46" s="52"/>
      <c r="C46" s="51"/>
      <c r="D46" s="51"/>
      <c r="E46" s="51"/>
      <c r="F46" s="52"/>
      <c r="G46" s="52"/>
      <c r="H46" s="51"/>
      <c r="I46" s="52"/>
    </row>
    <row r="47" spans="1:9" x14ac:dyDescent="0.25">
      <c r="A47" s="51"/>
      <c r="B47" s="52"/>
      <c r="C47" s="51"/>
      <c r="D47" s="51"/>
      <c r="E47" s="51"/>
      <c r="F47" s="52"/>
      <c r="G47" s="52"/>
      <c r="H47" s="51"/>
      <c r="I47" s="52"/>
    </row>
    <row r="48" spans="1:9" x14ac:dyDescent="0.25">
      <c r="A48" s="51"/>
      <c r="B48" s="52"/>
      <c r="C48" s="51"/>
      <c r="D48" s="51"/>
      <c r="E48" s="51"/>
      <c r="F48" s="52"/>
      <c r="G48" s="52"/>
      <c r="H48" s="51"/>
      <c r="I48" s="52"/>
    </row>
    <row r="49" spans="1:9" x14ac:dyDescent="0.25">
      <c r="A49" s="51"/>
      <c r="B49" s="52"/>
      <c r="C49" s="51"/>
      <c r="D49" s="51"/>
      <c r="E49" s="51"/>
      <c r="F49" s="52"/>
      <c r="G49" s="52"/>
      <c r="H49" s="51"/>
      <c r="I49" s="52"/>
    </row>
    <row r="50" spans="1:9" x14ac:dyDescent="0.25">
      <c r="A50" s="51"/>
      <c r="B50" s="52"/>
      <c r="C50" s="51"/>
      <c r="D50" s="51"/>
      <c r="E50" s="51"/>
      <c r="F50" s="52"/>
      <c r="G50" s="52"/>
      <c r="H50" s="51"/>
      <c r="I50" s="52"/>
    </row>
    <row r="51" spans="1:9" x14ac:dyDescent="0.25">
      <c r="A51" s="51"/>
      <c r="B51" s="52"/>
      <c r="C51" s="51"/>
      <c r="D51" s="51"/>
      <c r="E51" s="51"/>
      <c r="F51" s="52"/>
      <c r="G51" s="52"/>
      <c r="H51" s="51"/>
      <c r="I51" s="52"/>
    </row>
    <row r="52" spans="1:9" x14ac:dyDescent="0.25">
      <c r="A52" s="51"/>
      <c r="B52" s="52"/>
      <c r="C52" s="51"/>
      <c r="D52" s="51"/>
      <c r="E52" s="51"/>
      <c r="F52" s="52"/>
      <c r="G52" s="52"/>
      <c r="H52" s="51"/>
      <c r="I52" s="52"/>
    </row>
    <row r="53" spans="1:9" x14ac:dyDescent="0.25">
      <c r="A53" s="51"/>
      <c r="B53" s="52"/>
      <c r="C53" s="51"/>
      <c r="D53" s="51"/>
      <c r="E53" s="51"/>
      <c r="F53" s="52"/>
      <c r="G53" s="52"/>
      <c r="H53" s="51"/>
      <c r="I53" s="52"/>
    </row>
    <row r="54" spans="1:9" x14ac:dyDescent="0.25">
      <c r="A54" s="51"/>
      <c r="B54" s="52"/>
      <c r="C54" s="51"/>
      <c r="D54" s="51"/>
      <c r="E54" s="51"/>
      <c r="F54" s="52"/>
      <c r="G54" s="52"/>
      <c r="H54" s="51"/>
      <c r="I54" s="52"/>
    </row>
    <row r="55" spans="1:9" x14ac:dyDescent="0.25">
      <c r="A55" s="51"/>
      <c r="B55" s="52"/>
      <c r="C55" s="51"/>
      <c r="D55" s="51"/>
      <c r="E55" s="51"/>
      <c r="F55" s="52"/>
      <c r="G55" s="52"/>
      <c r="H55" s="51"/>
      <c r="I55" s="52"/>
    </row>
    <row r="56" spans="1:9" x14ac:dyDescent="0.25">
      <c r="A56" s="51"/>
      <c r="B56" s="52"/>
      <c r="C56" s="51"/>
      <c r="D56" s="51"/>
      <c r="E56" s="51"/>
      <c r="F56" s="52"/>
      <c r="G56" s="52"/>
      <c r="H56" s="51"/>
      <c r="I56" s="52"/>
    </row>
    <row r="57" spans="1:9" x14ac:dyDescent="0.25">
      <c r="A57" s="51"/>
      <c r="B57" s="52"/>
      <c r="C57" s="51"/>
      <c r="D57" s="51"/>
      <c r="E57" s="51"/>
      <c r="F57" s="52"/>
      <c r="G57" s="52"/>
      <c r="H57" s="51"/>
      <c r="I57" s="52"/>
    </row>
    <row r="58" spans="1:9" x14ac:dyDescent="0.25">
      <c r="A58" s="51"/>
      <c r="B58" s="52"/>
      <c r="C58" s="51"/>
      <c r="D58" s="51"/>
      <c r="E58" s="51"/>
      <c r="F58" s="52"/>
      <c r="G58" s="52"/>
      <c r="H58" s="51"/>
      <c r="I58" s="52"/>
    </row>
    <row r="59" spans="1:9" x14ac:dyDescent="0.25">
      <c r="A59" s="51"/>
      <c r="B59" s="52"/>
      <c r="C59" s="51"/>
      <c r="D59" s="51"/>
      <c r="E59" s="51"/>
      <c r="F59" s="52"/>
      <c r="G59" s="52"/>
      <c r="H59" s="51"/>
      <c r="I59" s="52"/>
    </row>
    <row r="60" spans="1:9" x14ac:dyDescent="0.25">
      <c r="A60" s="51"/>
      <c r="B60" s="52"/>
      <c r="C60" s="51"/>
      <c r="D60" s="51"/>
      <c r="E60" s="51"/>
      <c r="F60" s="52"/>
      <c r="G60" s="52"/>
      <c r="H60" s="51"/>
      <c r="I60" s="52"/>
    </row>
    <row r="61" spans="1:9" x14ac:dyDescent="0.25">
      <c r="A61" s="51"/>
      <c r="B61" s="52"/>
      <c r="C61" s="51"/>
      <c r="D61" s="51"/>
      <c r="E61" s="51"/>
      <c r="F61" s="52"/>
      <c r="G61" s="52"/>
      <c r="H61" s="51"/>
      <c r="I61" s="52"/>
    </row>
    <row r="62" spans="1:9" x14ac:dyDescent="0.25">
      <c r="A62" s="51"/>
      <c r="B62" s="52"/>
      <c r="C62" s="51"/>
      <c r="D62" s="51"/>
      <c r="E62" s="51"/>
      <c r="F62" s="52"/>
      <c r="G62" s="52"/>
      <c r="H62" s="51"/>
      <c r="I62" s="52"/>
    </row>
    <row r="63" spans="1:9" x14ac:dyDescent="0.25">
      <c r="A63" s="51"/>
      <c r="B63" s="52"/>
      <c r="C63" s="51"/>
      <c r="D63" s="51"/>
      <c r="E63" s="51"/>
      <c r="F63" s="52"/>
      <c r="G63" s="52"/>
      <c r="H63" s="51"/>
      <c r="I63" s="52"/>
    </row>
    <row r="64" spans="1:9" x14ac:dyDescent="0.25">
      <c r="A64" s="51"/>
      <c r="B64" s="52"/>
      <c r="C64" s="51"/>
      <c r="D64" s="51"/>
      <c r="E64" s="51"/>
      <c r="F64" s="52"/>
      <c r="G64" s="52"/>
      <c r="H64" s="51"/>
      <c r="I64" s="52"/>
    </row>
    <row r="65" spans="1:9" x14ac:dyDescent="0.25">
      <c r="A65" s="51"/>
      <c r="B65" s="52"/>
      <c r="C65" s="51"/>
      <c r="D65" s="51"/>
      <c r="E65" s="51"/>
      <c r="F65" s="52"/>
      <c r="G65" s="52"/>
      <c r="H65" s="51"/>
      <c r="I65" s="52"/>
    </row>
    <row r="66" spans="1:9" x14ac:dyDescent="0.25">
      <c r="A66" s="51"/>
      <c r="B66" s="52"/>
      <c r="C66" s="51"/>
      <c r="D66" s="51"/>
      <c r="E66" s="51"/>
      <c r="F66" s="52"/>
      <c r="G66" s="52"/>
      <c r="H66" s="51"/>
      <c r="I66" s="52"/>
    </row>
    <row r="67" spans="1:9" x14ac:dyDescent="0.25">
      <c r="A67" s="51"/>
      <c r="B67" s="52"/>
      <c r="C67" s="51"/>
      <c r="D67" s="51"/>
      <c r="E67" s="51"/>
      <c r="F67" s="52"/>
      <c r="G67" s="52"/>
      <c r="H67" s="51"/>
      <c r="I67" s="52"/>
    </row>
    <row r="68" spans="1:9" x14ac:dyDescent="0.25">
      <c r="A68" s="51"/>
      <c r="B68" s="52"/>
      <c r="C68" s="51"/>
      <c r="D68" s="51"/>
      <c r="E68" s="51"/>
      <c r="F68" s="52"/>
      <c r="G68" s="52"/>
      <c r="H68" s="51"/>
      <c r="I68" s="52"/>
    </row>
    <row r="69" spans="1:9" x14ac:dyDescent="0.25">
      <c r="A69" s="51"/>
      <c r="B69" s="52"/>
      <c r="C69" s="51"/>
      <c r="D69" s="51"/>
      <c r="E69" s="51"/>
      <c r="F69" s="52"/>
      <c r="G69" s="52"/>
      <c r="H69" s="51"/>
      <c r="I69" s="52"/>
    </row>
    <row r="70" spans="1:9" x14ac:dyDescent="0.25">
      <c r="A70" s="51"/>
      <c r="B70" s="52"/>
      <c r="C70" s="51"/>
      <c r="D70" s="51"/>
      <c r="E70" s="51"/>
      <c r="F70" s="52"/>
      <c r="G70" s="52"/>
      <c r="H70" s="51"/>
      <c r="I70" s="52"/>
    </row>
    <row r="71" spans="1:9" x14ac:dyDescent="0.25">
      <c r="A71" s="51"/>
      <c r="B71" s="52"/>
      <c r="C71" s="51"/>
      <c r="D71" s="51"/>
      <c r="E71" s="51"/>
      <c r="F71" s="52"/>
      <c r="G71" s="52"/>
      <c r="H71" s="51"/>
      <c r="I71" s="52"/>
    </row>
    <row r="72" spans="1:9" x14ac:dyDescent="0.25">
      <c r="A72" s="51"/>
      <c r="B72" s="52"/>
      <c r="C72" s="51"/>
      <c r="D72" s="51"/>
      <c r="E72" s="51"/>
      <c r="F72" s="52"/>
      <c r="G72" s="52"/>
      <c r="H72" s="51"/>
      <c r="I72" s="52"/>
    </row>
    <row r="73" spans="1:9" x14ac:dyDescent="0.25">
      <c r="A73" s="51"/>
      <c r="B73" s="52"/>
      <c r="C73" s="51"/>
      <c r="D73" s="51"/>
      <c r="E73" s="51"/>
      <c r="F73" s="52"/>
      <c r="G73" s="52"/>
      <c r="H73" s="51"/>
      <c r="I73" s="52"/>
    </row>
    <row r="74" spans="1:9" x14ac:dyDescent="0.25">
      <c r="A74" s="51"/>
      <c r="B74" s="52"/>
      <c r="C74" s="51"/>
      <c r="D74" s="51"/>
      <c r="E74" s="51"/>
      <c r="F74" s="52"/>
      <c r="G74" s="52"/>
      <c r="H74" s="51"/>
      <c r="I74" s="52"/>
    </row>
    <row r="75" spans="1:9" x14ac:dyDescent="0.25">
      <c r="A75" s="51"/>
      <c r="B75" s="52"/>
      <c r="C75" s="51"/>
      <c r="D75" s="51"/>
      <c r="E75" s="51"/>
      <c r="F75" s="52"/>
      <c r="G75" s="52"/>
      <c r="H75" s="51"/>
      <c r="I75" s="52"/>
    </row>
    <row r="76" spans="1:9" x14ac:dyDescent="0.25">
      <c r="A76" s="51"/>
      <c r="B76" s="52"/>
      <c r="C76" s="51"/>
      <c r="D76" s="51"/>
      <c r="E76" s="51"/>
      <c r="F76" s="52"/>
      <c r="G76" s="52"/>
      <c r="H76" s="51"/>
      <c r="I76" s="52"/>
    </row>
    <row r="77" spans="1:9" x14ac:dyDescent="0.25">
      <c r="A77" s="51"/>
      <c r="B77" s="52"/>
      <c r="C77" s="51"/>
      <c r="D77" s="51"/>
      <c r="E77" s="51"/>
      <c r="F77" s="52"/>
      <c r="G77" s="52"/>
      <c r="H77" s="51"/>
      <c r="I77" s="52"/>
    </row>
    <row r="78" spans="1:9" x14ac:dyDescent="0.25">
      <c r="A78" s="51"/>
      <c r="B78" s="52"/>
      <c r="C78" s="51"/>
      <c r="D78" s="51"/>
      <c r="E78" s="51"/>
      <c r="F78" s="52"/>
      <c r="G78" s="52"/>
      <c r="H78" s="51"/>
      <c r="I78" s="52"/>
    </row>
    <row r="79" spans="1:9" x14ac:dyDescent="0.25">
      <c r="A79" s="51"/>
      <c r="B79" s="52"/>
      <c r="C79" s="51"/>
      <c r="D79" s="51"/>
      <c r="E79" s="51"/>
      <c r="F79" s="52"/>
      <c r="G79" s="52"/>
      <c r="H79" s="51"/>
      <c r="I79" s="52"/>
    </row>
    <row r="80" spans="1:9" x14ac:dyDescent="0.25">
      <c r="A80" s="51"/>
      <c r="B80" s="52"/>
      <c r="C80" s="51"/>
      <c r="D80" s="51"/>
      <c r="E80" s="51"/>
      <c r="F80" s="52"/>
      <c r="G80" s="52"/>
      <c r="H80" s="51"/>
      <c r="I80" s="52"/>
    </row>
    <row r="81" spans="1:9" x14ac:dyDescent="0.25">
      <c r="A81" s="51"/>
      <c r="B81" s="52"/>
      <c r="C81" s="51"/>
      <c r="D81" s="51"/>
      <c r="E81" s="51"/>
      <c r="F81" s="52"/>
      <c r="G81" s="52"/>
      <c r="H81" s="51"/>
      <c r="I81" s="52"/>
    </row>
    <row r="82" spans="1:9" x14ac:dyDescent="0.25">
      <c r="A82" s="51"/>
      <c r="B82" s="52"/>
      <c r="C82" s="51"/>
      <c r="D82" s="51"/>
      <c r="E82" s="51"/>
      <c r="F82" s="52"/>
      <c r="G82" s="52"/>
      <c r="H82" s="51"/>
      <c r="I82" s="52"/>
    </row>
    <row r="83" spans="1:9" x14ac:dyDescent="0.25">
      <c r="A83" s="51"/>
      <c r="B83" s="52"/>
      <c r="C83" s="51"/>
      <c r="D83" s="51"/>
      <c r="E83" s="51"/>
      <c r="F83" s="52"/>
      <c r="G83" s="52"/>
      <c r="H83" s="51"/>
      <c r="I83" s="52"/>
    </row>
    <row r="84" spans="1:9" x14ac:dyDescent="0.25">
      <c r="A84" s="51"/>
      <c r="B84" s="52"/>
      <c r="C84" s="51"/>
      <c r="D84" s="51"/>
      <c r="E84" s="51"/>
      <c r="F84" s="52"/>
      <c r="G84" s="52"/>
      <c r="H84" s="51"/>
      <c r="I84" s="52"/>
    </row>
    <row r="85" spans="1:9" x14ac:dyDescent="0.25">
      <c r="A85" s="51"/>
      <c r="B85" s="52"/>
      <c r="C85" s="51"/>
      <c r="D85" s="51"/>
      <c r="E85" s="51"/>
      <c r="F85" s="52"/>
      <c r="G85" s="52"/>
      <c r="H85" s="51"/>
      <c r="I85" s="52"/>
    </row>
    <row r="86" spans="1:9" x14ac:dyDescent="0.25">
      <c r="A86" s="51"/>
      <c r="B86" s="52"/>
      <c r="C86" s="51"/>
      <c r="D86" s="51"/>
      <c r="E86" s="51"/>
      <c r="F86" s="52"/>
      <c r="G86" s="52"/>
      <c r="H86" s="51"/>
      <c r="I86" s="52"/>
    </row>
    <row r="87" spans="1:9" x14ac:dyDescent="0.25">
      <c r="A87" s="51"/>
      <c r="B87" s="52"/>
      <c r="C87" s="51"/>
      <c r="D87" s="51"/>
      <c r="E87" s="51"/>
      <c r="F87" s="52"/>
      <c r="G87" s="52"/>
      <c r="H87" s="51"/>
      <c r="I87" s="52"/>
    </row>
    <row r="88" spans="1:9" x14ac:dyDescent="0.25">
      <c r="A88" s="51"/>
      <c r="B88" s="52"/>
      <c r="C88" s="51"/>
      <c r="D88" s="51"/>
      <c r="E88" s="51"/>
      <c r="F88" s="52"/>
      <c r="G88" s="52"/>
      <c r="H88" s="51"/>
      <c r="I88" s="52"/>
    </row>
    <row r="89" spans="1:9" x14ac:dyDescent="0.25">
      <c r="A89" s="51"/>
      <c r="B89" s="52"/>
      <c r="C89" s="51"/>
      <c r="D89" s="51"/>
      <c r="E89" s="51"/>
      <c r="F89" s="52"/>
      <c r="G89" s="52"/>
      <c r="H89" s="51"/>
      <c r="I89" s="52"/>
    </row>
    <row r="90" spans="1:9" x14ac:dyDescent="0.25">
      <c r="A90" s="51"/>
      <c r="B90" s="52"/>
      <c r="C90" s="51"/>
      <c r="D90" s="51"/>
      <c r="E90" s="51"/>
      <c r="F90" s="52"/>
      <c r="G90" s="52"/>
      <c r="H90" s="51"/>
      <c r="I90" s="52"/>
    </row>
    <row r="91" spans="1:9" x14ac:dyDescent="0.25">
      <c r="A91" s="51"/>
      <c r="B91" s="52"/>
      <c r="C91" s="51"/>
      <c r="D91" s="51"/>
      <c r="E91" s="51"/>
      <c r="F91" s="52"/>
      <c r="G91" s="52"/>
      <c r="H91" s="51"/>
      <c r="I91" s="52"/>
    </row>
    <row r="92" spans="1:9" x14ac:dyDescent="0.25">
      <c r="A92" s="51"/>
      <c r="B92" s="52"/>
      <c r="C92" s="51"/>
      <c r="D92" s="51"/>
      <c r="E92" s="51"/>
      <c r="F92" s="52"/>
      <c r="G92" s="52"/>
      <c r="H92" s="51"/>
      <c r="I92" s="52"/>
    </row>
    <row r="93" spans="1:9" x14ac:dyDescent="0.25">
      <c r="A93" s="51"/>
      <c r="B93" s="52"/>
      <c r="C93" s="51"/>
      <c r="D93" s="51"/>
      <c r="E93" s="51"/>
      <c r="F93" s="52"/>
      <c r="G93" s="52"/>
      <c r="H93" s="51"/>
      <c r="I93" s="52"/>
    </row>
    <row r="94" spans="1:9" x14ac:dyDescent="0.25">
      <c r="A94" s="51"/>
      <c r="B94" s="52"/>
      <c r="C94" s="51"/>
      <c r="D94" s="51"/>
      <c r="E94" s="51"/>
      <c r="F94" s="52"/>
      <c r="G94" s="52"/>
      <c r="H94" s="51"/>
      <c r="I94" s="52"/>
    </row>
    <row r="95" spans="1:9" x14ac:dyDescent="0.25">
      <c r="A95" s="51"/>
      <c r="B95" s="52"/>
      <c r="C95" s="51"/>
      <c r="D95" s="51"/>
      <c r="E95" s="51"/>
      <c r="F95" s="52"/>
      <c r="G95" s="52"/>
      <c r="H95" s="51"/>
      <c r="I95" s="52"/>
    </row>
    <row r="96" spans="1:9" x14ac:dyDescent="0.25">
      <c r="A96" s="51"/>
      <c r="B96" s="52"/>
      <c r="C96" s="51"/>
      <c r="D96" s="51"/>
      <c r="E96" s="51"/>
      <c r="F96" s="52"/>
      <c r="G96" s="52"/>
      <c r="H96" s="51"/>
      <c r="I96" s="52"/>
    </row>
    <row r="97" spans="1:9" x14ac:dyDescent="0.25">
      <c r="A97" s="51"/>
      <c r="B97" s="52"/>
      <c r="C97" s="51"/>
      <c r="D97" s="51"/>
      <c r="E97" s="51"/>
      <c r="F97" s="52"/>
      <c r="G97" s="52"/>
      <c r="H97" s="51"/>
      <c r="I97" s="52"/>
    </row>
    <row r="98" spans="1:9" x14ac:dyDescent="0.25">
      <c r="A98" s="51"/>
      <c r="B98" s="52"/>
      <c r="C98" s="51"/>
      <c r="D98" s="51"/>
      <c r="E98" s="51"/>
      <c r="F98" s="52"/>
      <c r="G98" s="52"/>
      <c r="H98" s="51"/>
      <c r="I98" s="52"/>
    </row>
    <row r="99" spans="1:9" x14ac:dyDescent="0.25">
      <c r="A99" s="51"/>
      <c r="B99" s="52"/>
      <c r="C99" s="51"/>
      <c r="D99" s="51"/>
      <c r="E99" s="51"/>
      <c r="F99" s="52"/>
      <c r="G99" s="52"/>
      <c r="H99" s="51"/>
      <c r="I99" s="52"/>
    </row>
    <row r="100" spans="1:9" x14ac:dyDescent="0.25">
      <c r="A100" s="51"/>
      <c r="B100" s="52"/>
      <c r="C100" s="51"/>
      <c r="D100" s="51"/>
      <c r="E100" s="51"/>
      <c r="F100" s="52"/>
      <c r="G100" s="52"/>
      <c r="H100" s="51"/>
      <c r="I100" s="52"/>
    </row>
    <row r="101" spans="1:9" x14ac:dyDescent="0.25">
      <c r="A101" s="51"/>
      <c r="B101" s="52"/>
      <c r="C101" s="51"/>
      <c r="D101" s="51"/>
      <c r="E101" s="51"/>
      <c r="F101" s="52"/>
      <c r="G101" s="52"/>
      <c r="H101" s="51"/>
      <c r="I101" s="52"/>
    </row>
    <row r="102" spans="1:9" x14ac:dyDescent="0.25">
      <c r="A102" s="51"/>
      <c r="B102" s="52"/>
      <c r="C102" s="51"/>
      <c r="D102" s="51"/>
      <c r="E102" s="51"/>
      <c r="F102" s="52"/>
      <c r="G102" s="52"/>
      <c r="H102" s="51"/>
      <c r="I102" s="52"/>
    </row>
    <row r="103" spans="1:9" x14ac:dyDescent="0.25">
      <c r="A103" s="51"/>
      <c r="B103" s="52"/>
      <c r="C103" s="51"/>
      <c r="D103" s="51"/>
      <c r="E103" s="51"/>
      <c r="F103" s="52"/>
      <c r="G103" s="52"/>
      <c r="H103" s="51"/>
      <c r="I103" s="52"/>
    </row>
    <row r="104" spans="1:9" x14ac:dyDescent="0.25">
      <c r="A104" s="51"/>
      <c r="B104" s="52"/>
      <c r="C104" s="51"/>
      <c r="D104" s="51"/>
      <c r="E104" s="51"/>
      <c r="F104" s="52"/>
      <c r="G104" s="52"/>
      <c r="H104" s="51"/>
      <c r="I104" s="52"/>
    </row>
    <row r="105" spans="1:9" x14ac:dyDescent="0.25">
      <c r="A105" s="51"/>
      <c r="B105" s="52"/>
      <c r="C105" s="51"/>
      <c r="D105" s="51"/>
      <c r="E105" s="51"/>
      <c r="F105" s="52"/>
      <c r="G105" s="52"/>
      <c r="H105" s="51"/>
      <c r="I105" s="52"/>
    </row>
    <row r="106" spans="1:9" x14ac:dyDescent="0.25">
      <c r="A106" s="51"/>
      <c r="B106" s="52"/>
      <c r="C106" s="51"/>
      <c r="D106" s="51"/>
      <c r="E106" s="51"/>
      <c r="F106" s="52"/>
      <c r="G106" s="52"/>
      <c r="H106" s="51"/>
      <c r="I106" s="52"/>
    </row>
    <row r="107" spans="1:9" x14ac:dyDescent="0.25">
      <c r="A107" s="51"/>
      <c r="B107" s="52"/>
      <c r="C107" s="51"/>
      <c r="D107" s="51"/>
      <c r="E107" s="51"/>
      <c r="F107" s="52"/>
      <c r="G107" s="52"/>
      <c r="H107" s="51"/>
      <c r="I107" s="52"/>
    </row>
    <row r="108" spans="1:9" x14ac:dyDescent="0.25">
      <c r="A108" s="51"/>
      <c r="B108" s="52"/>
      <c r="C108" s="51"/>
      <c r="D108" s="51"/>
      <c r="E108" s="51"/>
      <c r="F108" s="52"/>
      <c r="G108" s="52"/>
      <c r="H108" s="51"/>
      <c r="I108" s="52"/>
    </row>
    <row r="109" spans="1:9" x14ac:dyDescent="0.25">
      <c r="A109" s="51"/>
      <c r="B109" s="52"/>
      <c r="C109" s="51"/>
      <c r="D109" s="51"/>
      <c r="E109" s="51"/>
      <c r="F109" s="52"/>
      <c r="G109" s="52"/>
      <c r="H109" s="51"/>
      <c r="I109" s="52"/>
    </row>
    <row r="110" spans="1:9" x14ac:dyDescent="0.25">
      <c r="A110" s="51"/>
      <c r="B110" s="52"/>
      <c r="C110" s="51"/>
      <c r="D110" s="51"/>
      <c r="E110" s="51"/>
      <c r="F110" s="52"/>
      <c r="G110" s="52"/>
      <c r="H110" s="51"/>
      <c r="I110" s="52"/>
    </row>
    <row r="111" spans="1:9" x14ac:dyDescent="0.25">
      <c r="A111" s="51"/>
      <c r="B111" s="52"/>
      <c r="C111" s="51"/>
      <c r="D111" s="51"/>
      <c r="E111" s="51"/>
      <c r="F111" s="52"/>
      <c r="G111" s="52"/>
      <c r="H111" s="51"/>
      <c r="I111" s="52"/>
    </row>
    <row r="112" spans="1:9" x14ac:dyDescent="0.25">
      <c r="A112" s="51"/>
      <c r="B112" s="52"/>
      <c r="C112" s="51"/>
      <c r="D112" s="51"/>
      <c r="E112" s="51"/>
      <c r="F112" s="52"/>
      <c r="G112" s="52"/>
      <c r="H112" s="51"/>
      <c r="I112" s="52"/>
    </row>
    <row r="113" spans="1:9" x14ac:dyDescent="0.25">
      <c r="A113" s="51"/>
      <c r="B113" s="52"/>
      <c r="C113" s="51"/>
      <c r="D113" s="51"/>
      <c r="E113" s="51"/>
      <c r="F113" s="52"/>
      <c r="G113" s="52"/>
      <c r="H113" s="51"/>
      <c r="I113" s="52"/>
    </row>
    <row r="114" spans="1:9" x14ac:dyDescent="0.25">
      <c r="A114" s="51"/>
      <c r="B114" s="52"/>
      <c r="C114" s="51"/>
      <c r="D114" s="51"/>
      <c r="E114" s="51"/>
      <c r="F114" s="52"/>
      <c r="G114" s="52"/>
      <c r="H114" s="51"/>
      <c r="I114" s="52"/>
    </row>
    <row r="115" spans="1:9" x14ac:dyDescent="0.25">
      <c r="A115" s="51"/>
      <c r="B115" s="52"/>
      <c r="C115" s="51"/>
      <c r="D115" s="51"/>
      <c r="E115" s="51"/>
      <c r="F115" s="52"/>
      <c r="G115" s="52"/>
      <c r="H115" s="51"/>
      <c r="I115" s="52"/>
    </row>
    <row r="116" spans="1:9" x14ac:dyDescent="0.25">
      <c r="A116" s="51"/>
      <c r="B116" s="52"/>
      <c r="C116" s="51"/>
      <c r="D116" s="51"/>
      <c r="E116" s="51"/>
      <c r="F116" s="52"/>
      <c r="G116" s="52"/>
      <c r="H116" s="51"/>
      <c r="I116" s="52"/>
    </row>
    <row r="117" spans="1:9" x14ac:dyDescent="0.25">
      <c r="A117" s="51"/>
      <c r="B117" s="52"/>
      <c r="C117" s="51"/>
      <c r="D117" s="51"/>
      <c r="E117" s="51"/>
      <c r="F117" s="52"/>
      <c r="G117" s="52"/>
      <c r="H117" s="51"/>
      <c r="I117" s="52"/>
    </row>
    <row r="118" spans="1:9" x14ac:dyDescent="0.25">
      <c r="A118" s="51"/>
      <c r="B118" s="52"/>
      <c r="C118" s="51"/>
      <c r="D118" s="51"/>
      <c r="E118" s="51"/>
      <c r="F118" s="52"/>
      <c r="G118" s="52"/>
      <c r="H118" s="51"/>
      <c r="I118" s="52"/>
    </row>
    <row r="119" spans="1:9" x14ac:dyDescent="0.25">
      <c r="A119" s="51"/>
      <c r="B119" s="52"/>
      <c r="C119" s="51"/>
      <c r="D119" s="51"/>
      <c r="E119" s="51"/>
      <c r="F119" s="52"/>
      <c r="G119" s="52"/>
      <c r="H119" s="51"/>
      <c r="I119" s="52"/>
    </row>
    <row r="120" spans="1:9" x14ac:dyDescent="0.25">
      <c r="A120" s="51"/>
      <c r="B120" s="52"/>
      <c r="C120" s="51"/>
      <c r="D120" s="51"/>
      <c r="E120" s="51"/>
      <c r="F120" s="52"/>
      <c r="G120" s="52"/>
      <c r="H120" s="51"/>
      <c r="I120" s="52"/>
    </row>
    <row r="121" spans="1:9" x14ac:dyDescent="0.25">
      <c r="A121" s="51"/>
      <c r="B121" s="52"/>
      <c r="C121" s="51"/>
      <c r="D121" s="51"/>
      <c r="E121" s="51"/>
      <c r="F121" s="52"/>
      <c r="G121" s="52"/>
      <c r="H121" s="51"/>
      <c r="I121" s="52"/>
    </row>
    <row r="122" spans="1:9" x14ac:dyDescent="0.25">
      <c r="A122" s="51"/>
      <c r="B122" s="52"/>
      <c r="C122" s="51"/>
      <c r="D122" s="51"/>
      <c r="E122" s="51"/>
      <c r="F122" s="52"/>
      <c r="G122" s="52"/>
      <c r="H122" s="51"/>
      <c r="I122" s="52"/>
    </row>
    <row r="123" spans="1:9" x14ac:dyDescent="0.25">
      <c r="A123" s="51"/>
      <c r="B123" s="52"/>
      <c r="C123" s="51"/>
      <c r="D123" s="51"/>
      <c r="E123" s="51"/>
      <c r="F123" s="52"/>
      <c r="G123" s="52"/>
      <c r="H123" s="51"/>
      <c r="I123" s="52"/>
    </row>
    <row r="124" spans="1:9" x14ac:dyDescent="0.25">
      <c r="A124" s="51"/>
      <c r="B124" s="52"/>
      <c r="C124" s="51"/>
      <c r="D124" s="51"/>
      <c r="E124" s="51"/>
      <c r="F124" s="52"/>
      <c r="G124" s="52"/>
      <c r="H124" s="51"/>
      <c r="I124" s="52"/>
    </row>
    <row r="125" spans="1:9" x14ac:dyDescent="0.25">
      <c r="A125" s="51"/>
      <c r="B125" s="52"/>
      <c r="C125" s="51"/>
      <c r="D125" s="51"/>
      <c r="E125" s="51"/>
      <c r="F125" s="52"/>
      <c r="G125" s="52"/>
      <c r="H125" s="51"/>
      <c r="I125" s="52"/>
    </row>
    <row r="126" spans="1:9" x14ac:dyDescent="0.25">
      <c r="A126" s="51"/>
      <c r="B126" s="52"/>
      <c r="C126" s="51"/>
      <c r="D126" s="51"/>
      <c r="E126" s="51"/>
      <c r="F126" s="52"/>
      <c r="G126" s="52"/>
      <c r="H126" s="51"/>
      <c r="I126" s="52"/>
    </row>
    <row r="127" spans="1:9" x14ac:dyDescent="0.25">
      <c r="A127" s="51"/>
      <c r="B127" s="52"/>
      <c r="C127" s="51"/>
      <c r="D127" s="51"/>
      <c r="E127" s="51"/>
      <c r="F127" s="52"/>
      <c r="G127" s="52"/>
      <c r="H127" s="51"/>
      <c r="I127" s="52"/>
    </row>
    <row r="128" spans="1:9" x14ac:dyDescent="0.25">
      <c r="A128" s="51"/>
      <c r="B128" s="52"/>
      <c r="C128" s="51"/>
      <c r="D128" s="51"/>
      <c r="E128" s="51"/>
      <c r="F128" s="52"/>
      <c r="G128" s="52"/>
      <c r="H128" s="51"/>
      <c r="I128" s="52"/>
    </row>
    <row r="129" spans="1:9" x14ac:dyDescent="0.25">
      <c r="A129" s="51"/>
      <c r="B129" s="52"/>
      <c r="C129" s="51"/>
      <c r="D129" s="51"/>
      <c r="E129" s="51"/>
      <c r="F129" s="52"/>
      <c r="G129" s="52"/>
      <c r="H129" s="51"/>
      <c r="I129" s="52"/>
    </row>
    <row r="130" spans="1:9" x14ac:dyDescent="0.25">
      <c r="A130" s="51"/>
      <c r="B130" s="52"/>
      <c r="C130" s="51"/>
      <c r="D130" s="51"/>
      <c r="E130" s="51"/>
      <c r="F130" s="52"/>
      <c r="G130" s="52"/>
      <c r="H130" s="51"/>
      <c r="I130" s="52"/>
    </row>
    <row r="131" spans="1:9" x14ac:dyDescent="0.25">
      <c r="A131" s="51"/>
      <c r="B131" s="52"/>
      <c r="C131" s="51"/>
      <c r="D131" s="51"/>
      <c r="E131" s="51"/>
      <c r="F131" s="52"/>
      <c r="G131" s="52"/>
      <c r="H131" s="51"/>
      <c r="I131" s="52"/>
    </row>
    <row r="132" spans="1:9" x14ac:dyDescent="0.25">
      <c r="A132" s="51"/>
      <c r="B132" s="52"/>
      <c r="C132" s="51"/>
      <c r="D132" s="51"/>
      <c r="E132" s="51"/>
      <c r="F132" s="52"/>
      <c r="G132" s="52"/>
      <c r="H132" s="51"/>
      <c r="I132" s="52"/>
    </row>
    <row r="133" spans="1:9" x14ac:dyDescent="0.25">
      <c r="A133" s="51"/>
      <c r="B133" s="52"/>
      <c r="C133" s="51"/>
      <c r="D133" s="51"/>
      <c r="E133" s="51"/>
      <c r="F133" s="52"/>
      <c r="G133" s="52"/>
      <c r="H133" s="51"/>
      <c r="I133" s="52"/>
    </row>
    <row r="134" spans="1:9" x14ac:dyDescent="0.25">
      <c r="A134" s="51"/>
      <c r="B134" s="52"/>
      <c r="C134" s="51"/>
      <c r="D134" s="51"/>
      <c r="E134" s="51"/>
      <c r="F134" s="52"/>
      <c r="G134" s="52"/>
      <c r="H134" s="51"/>
      <c r="I134" s="52"/>
    </row>
    <row r="135" spans="1:9" x14ac:dyDescent="0.25">
      <c r="A135" s="51"/>
      <c r="B135" s="52"/>
      <c r="C135" s="51"/>
      <c r="D135" s="51"/>
      <c r="E135" s="51"/>
      <c r="F135" s="52"/>
      <c r="G135" s="52"/>
      <c r="H135" s="51"/>
      <c r="I135" s="52"/>
    </row>
    <row r="136" spans="1:9" x14ac:dyDescent="0.25">
      <c r="A136" s="51"/>
      <c r="B136" s="52"/>
      <c r="C136" s="51"/>
      <c r="D136" s="51"/>
      <c r="E136" s="51"/>
      <c r="F136" s="52"/>
      <c r="G136" s="52"/>
      <c r="H136" s="51"/>
      <c r="I136" s="52"/>
    </row>
    <row r="137" spans="1:9" x14ac:dyDescent="0.25">
      <c r="A137" s="51"/>
      <c r="B137" s="52"/>
      <c r="C137" s="51"/>
      <c r="D137" s="51"/>
      <c r="E137" s="51"/>
      <c r="F137" s="52"/>
      <c r="G137" s="52"/>
      <c r="H137" s="51"/>
      <c r="I137" s="52"/>
    </row>
    <row r="138" spans="1:9" x14ac:dyDescent="0.25">
      <c r="A138" s="51"/>
      <c r="B138" s="52"/>
      <c r="C138" s="51"/>
      <c r="D138" s="51"/>
      <c r="E138" s="51"/>
      <c r="F138" s="52"/>
      <c r="G138" s="52"/>
      <c r="H138" s="51"/>
      <c r="I138" s="52"/>
    </row>
    <row r="139" spans="1:9" x14ac:dyDescent="0.25">
      <c r="A139" s="51"/>
      <c r="B139" s="52"/>
      <c r="C139" s="51"/>
      <c r="D139" s="51"/>
      <c r="E139" s="51"/>
      <c r="F139" s="52"/>
      <c r="G139" s="52"/>
      <c r="H139" s="51"/>
      <c r="I139" s="52"/>
    </row>
    <row r="140" spans="1:9" x14ac:dyDescent="0.25">
      <c r="A140" s="51"/>
      <c r="B140" s="52"/>
      <c r="C140" s="51"/>
      <c r="D140" s="51"/>
      <c r="E140" s="51"/>
      <c r="F140" s="52"/>
      <c r="G140" s="52"/>
      <c r="H140" s="51"/>
      <c r="I140" s="52"/>
    </row>
    <row r="141" spans="1:9" x14ac:dyDescent="0.25">
      <c r="A141" s="51"/>
      <c r="B141" s="52"/>
      <c r="C141" s="51"/>
      <c r="D141" s="51"/>
      <c r="E141" s="51"/>
      <c r="F141" s="52"/>
      <c r="G141" s="52"/>
      <c r="H141" s="51"/>
      <c r="I141" s="52"/>
    </row>
    <row r="142" spans="1:9" x14ac:dyDescent="0.25">
      <c r="A142" s="51"/>
      <c r="B142" s="52"/>
      <c r="C142" s="51"/>
      <c r="D142" s="51"/>
      <c r="E142" s="51"/>
      <c r="F142" s="52"/>
      <c r="G142" s="52"/>
      <c r="H142" s="51"/>
      <c r="I142" s="52"/>
    </row>
    <row r="143" spans="1:9" x14ac:dyDescent="0.25">
      <c r="A143" s="51"/>
      <c r="B143" s="52"/>
      <c r="C143" s="51"/>
      <c r="D143" s="51"/>
      <c r="E143" s="51"/>
      <c r="F143" s="52"/>
      <c r="G143" s="52"/>
      <c r="H143" s="51"/>
      <c r="I143" s="52"/>
    </row>
    <row r="144" spans="1:9" x14ac:dyDescent="0.25">
      <c r="A144" s="51"/>
      <c r="B144" s="52"/>
      <c r="C144" s="51"/>
      <c r="D144" s="51"/>
      <c r="E144" s="51"/>
      <c r="F144" s="52"/>
      <c r="G144" s="52"/>
      <c r="H144" s="51"/>
      <c r="I144" s="52"/>
    </row>
    <row r="145" spans="1:9" x14ac:dyDescent="0.25">
      <c r="A145" s="51"/>
      <c r="B145" s="52"/>
      <c r="C145" s="51"/>
      <c r="D145" s="51"/>
      <c r="E145" s="51"/>
      <c r="F145" s="52"/>
      <c r="G145" s="52"/>
      <c r="H145" s="51"/>
      <c r="I145" s="52"/>
    </row>
    <row r="146" spans="1:9" x14ac:dyDescent="0.25">
      <c r="A146" s="51"/>
      <c r="B146" s="52"/>
      <c r="C146" s="51"/>
      <c r="D146" s="51"/>
      <c r="E146" s="51"/>
      <c r="F146" s="52"/>
      <c r="G146" s="52"/>
      <c r="H146" s="51"/>
      <c r="I146" s="52"/>
    </row>
    <row r="147" spans="1:9" x14ac:dyDescent="0.25">
      <c r="A147" s="51"/>
      <c r="B147" s="52"/>
      <c r="C147" s="51"/>
      <c r="D147" s="51"/>
      <c r="E147" s="51"/>
      <c r="F147" s="52"/>
      <c r="G147" s="52"/>
      <c r="H147" s="51"/>
      <c r="I147" s="52"/>
    </row>
    <row r="148" spans="1:9" x14ac:dyDescent="0.25">
      <c r="A148" s="51"/>
      <c r="B148" s="52"/>
      <c r="C148" s="51"/>
      <c r="D148" s="51"/>
      <c r="E148" s="51"/>
      <c r="F148" s="52"/>
      <c r="G148" s="52"/>
      <c r="H148" s="51"/>
      <c r="I148" s="52"/>
    </row>
    <row r="149" spans="1:9" x14ac:dyDescent="0.25">
      <c r="A149" s="51"/>
      <c r="B149" s="52"/>
      <c r="C149" s="51"/>
      <c r="D149" s="51"/>
      <c r="E149" s="51"/>
      <c r="F149" s="52"/>
      <c r="G149" s="52"/>
      <c r="H149" s="51"/>
      <c r="I149" s="52"/>
    </row>
    <row r="150" spans="1:9" x14ac:dyDescent="0.25">
      <c r="A150" s="51"/>
      <c r="B150" s="52"/>
      <c r="C150" s="51"/>
      <c r="D150" s="51"/>
      <c r="E150" s="51"/>
      <c r="F150" s="52"/>
      <c r="G150" s="52"/>
      <c r="H150" s="51"/>
      <c r="I150" s="52"/>
    </row>
    <row r="151" spans="1:9" x14ac:dyDescent="0.25">
      <c r="A151" s="51"/>
      <c r="B151" s="52"/>
      <c r="C151" s="51"/>
      <c r="D151" s="51"/>
      <c r="E151" s="51"/>
      <c r="F151" s="52"/>
      <c r="G151" s="52"/>
      <c r="H151" s="51"/>
      <c r="I151" s="52"/>
    </row>
    <row r="152" spans="1:9" x14ac:dyDescent="0.25">
      <c r="A152" s="51"/>
      <c r="B152" s="52"/>
      <c r="C152" s="51"/>
      <c r="D152" s="51"/>
      <c r="E152" s="51"/>
      <c r="F152" s="52"/>
      <c r="G152" s="52"/>
      <c r="H152" s="51"/>
      <c r="I152" s="52"/>
    </row>
    <row r="153" spans="1:9" x14ac:dyDescent="0.25">
      <c r="A153" s="51"/>
      <c r="B153" s="52"/>
      <c r="C153" s="51"/>
      <c r="D153" s="51"/>
      <c r="E153" s="51"/>
      <c r="F153" s="52"/>
      <c r="G153" s="52"/>
      <c r="H153" s="51"/>
      <c r="I153" s="52"/>
    </row>
    <row r="154" spans="1:9" x14ac:dyDescent="0.25">
      <c r="A154" s="51"/>
      <c r="B154" s="52"/>
      <c r="C154" s="51"/>
      <c r="D154" s="51"/>
      <c r="E154" s="51"/>
      <c r="F154" s="52"/>
      <c r="G154" s="52"/>
      <c r="H154" s="51"/>
      <c r="I154" s="52"/>
    </row>
    <row r="155" spans="1:9" x14ac:dyDescent="0.25">
      <c r="A155" s="51"/>
      <c r="B155" s="52"/>
      <c r="C155" s="51"/>
      <c r="D155" s="51"/>
      <c r="E155" s="51"/>
      <c r="F155" s="52"/>
      <c r="G155" s="52"/>
      <c r="H155" s="51"/>
      <c r="I155" s="52"/>
    </row>
    <row r="156" spans="1:9" x14ac:dyDescent="0.25">
      <c r="A156" s="51"/>
      <c r="B156" s="52"/>
      <c r="C156" s="51"/>
      <c r="D156" s="51"/>
      <c r="E156" s="51"/>
      <c r="F156" s="52"/>
      <c r="G156" s="52"/>
      <c r="H156" s="51"/>
      <c r="I156" s="52"/>
    </row>
    <row r="157" spans="1:9" x14ac:dyDescent="0.25">
      <c r="A157" s="51"/>
      <c r="B157" s="52"/>
      <c r="C157" s="51"/>
      <c r="D157" s="51"/>
      <c r="E157" s="51"/>
      <c r="F157" s="52"/>
      <c r="G157" s="52"/>
      <c r="H157" s="51"/>
      <c r="I157" s="52"/>
    </row>
    <row r="158" spans="1:9" x14ac:dyDescent="0.25">
      <c r="A158" s="51"/>
      <c r="B158" s="52"/>
      <c r="C158" s="51"/>
      <c r="D158" s="51"/>
      <c r="E158" s="51"/>
      <c r="F158" s="52"/>
      <c r="G158" s="52"/>
      <c r="H158" s="51"/>
      <c r="I158" s="52"/>
    </row>
    <row r="159" spans="1:9" x14ac:dyDescent="0.25">
      <c r="A159" s="51"/>
      <c r="B159" s="52"/>
      <c r="C159" s="51"/>
      <c r="D159" s="51"/>
      <c r="E159" s="51"/>
      <c r="F159" s="52"/>
      <c r="G159" s="52"/>
      <c r="H159" s="51"/>
      <c r="I159" s="52"/>
    </row>
    <row r="160" spans="1:9" x14ac:dyDescent="0.25">
      <c r="A160" s="51"/>
      <c r="B160" s="52"/>
      <c r="C160" s="51"/>
      <c r="D160" s="51"/>
      <c r="E160" s="51"/>
      <c r="F160" s="52"/>
      <c r="G160" s="52"/>
      <c r="H160" s="51"/>
      <c r="I160" s="52"/>
    </row>
    <row r="161" spans="1:9" x14ac:dyDescent="0.25">
      <c r="A161" s="51"/>
      <c r="B161" s="52"/>
      <c r="C161" s="51"/>
      <c r="D161" s="51"/>
      <c r="E161" s="51"/>
      <c r="F161" s="52"/>
      <c r="G161" s="52"/>
      <c r="H161" s="51"/>
      <c r="I161" s="52"/>
    </row>
    <row r="162" spans="1:9" x14ac:dyDescent="0.25">
      <c r="A162" s="51"/>
      <c r="B162" s="52"/>
      <c r="C162" s="51"/>
      <c r="D162" s="51"/>
      <c r="E162" s="51"/>
      <c r="F162" s="52"/>
      <c r="G162" s="52"/>
      <c r="H162" s="51"/>
      <c r="I162" s="52"/>
    </row>
    <row r="163" spans="1:9" x14ac:dyDescent="0.25">
      <c r="A163" s="51"/>
      <c r="B163" s="52"/>
      <c r="C163" s="51"/>
      <c r="D163" s="51"/>
      <c r="E163" s="51"/>
      <c r="F163" s="52"/>
      <c r="G163" s="52"/>
      <c r="H163" s="51"/>
      <c r="I163" s="52"/>
    </row>
    <row r="164" spans="1:9" x14ac:dyDescent="0.25">
      <c r="A164" s="51"/>
      <c r="B164" s="52"/>
      <c r="C164" s="51"/>
      <c r="D164" s="51"/>
      <c r="E164" s="51"/>
      <c r="F164" s="52"/>
      <c r="G164" s="52"/>
      <c r="H164" s="51"/>
      <c r="I164" s="52"/>
    </row>
    <row r="165" spans="1:9" x14ac:dyDescent="0.25">
      <c r="A165" s="51"/>
      <c r="B165" s="52"/>
      <c r="C165" s="51"/>
      <c r="D165" s="51"/>
      <c r="E165" s="51"/>
      <c r="F165" s="52"/>
      <c r="G165" s="52"/>
      <c r="H165" s="51"/>
      <c r="I165" s="52"/>
    </row>
    <row r="166" spans="1:9" x14ac:dyDescent="0.25">
      <c r="A166" s="51"/>
      <c r="B166" s="52"/>
      <c r="C166" s="51"/>
      <c r="D166" s="51"/>
      <c r="E166" s="51"/>
      <c r="F166" s="52"/>
      <c r="G166" s="52"/>
      <c r="H166" s="51"/>
      <c r="I166" s="52"/>
    </row>
    <row r="167" spans="1:9" x14ac:dyDescent="0.25">
      <c r="A167" s="51"/>
      <c r="B167" s="52"/>
      <c r="C167" s="51"/>
      <c r="D167" s="51"/>
      <c r="E167" s="51"/>
      <c r="F167" s="52"/>
      <c r="G167" s="52"/>
      <c r="H167" s="51"/>
      <c r="I167" s="52"/>
    </row>
    <row r="168" spans="1:9" x14ac:dyDescent="0.25">
      <c r="A168" s="51"/>
      <c r="B168" s="52"/>
      <c r="C168" s="51"/>
      <c r="D168" s="51"/>
      <c r="E168" s="51"/>
      <c r="F168" s="52"/>
      <c r="G168" s="52"/>
      <c r="H168" s="51"/>
      <c r="I168" s="52"/>
    </row>
    <row r="169" spans="1:9" x14ac:dyDescent="0.25">
      <c r="A169" s="51"/>
      <c r="B169" s="52"/>
      <c r="C169" s="51"/>
      <c r="D169" s="51"/>
      <c r="E169" s="51"/>
      <c r="F169" s="52"/>
      <c r="G169" s="52"/>
      <c r="H169" s="51"/>
      <c r="I169" s="52"/>
    </row>
    <row r="170" spans="1:9" x14ac:dyDescent="0.25">
      <c r="A170" s="51"/>
      <c r="B170" s="52"/>
      <c r="C170" s="51"/>
      <c r="D170" s="51"/>
      <c r="E170" s="51"/>
      <c r="F170" s="52"/>
      <c r="G170" s="52"/>
      <c r="H170" s="51"/>
      <c r="I170" s="52"/>
    </row>
    <row r="171" spans="1:9" x14ac:dyDescent="0.25">
      <c r="A171" s="51"/>
      <c r="B171" s="52"/>
      <c r="C171" s="51"/>
      <c r="D171" s="51"/>
      <c r="E171" s="51"/>
      <c r="F171" s="52"/>
      <c r="G171" s="52"/>
      <c r="H171" s="51"/>
      <c r="I171" s="52"/>
    </row>
    <row r="172" spans="1:9" x14ac:dyDescent="0.25">
      <c r="A172" s="51"/>
      <c r="B172" s="52"/>
      <c r="C172" s="51"/>
      <c r="D172" s="51"/>
      <c r="E172" s="51"/>
      <c r="F172" s="52"/>
      <c r="G172" s="52"/>
      <c r="H172" s="51"/>
      <c r="I172" s="52"/>
    </row>
    <row r="173" spans="1:9" x14ac:dyDescent="0.25">
      <c r="A173" s="51"/>
      <c r="B173" s="52"/>
      <c r="C173" s="51"/>
      <c r="D173" s="51"/>
      <c r="E173" s="51"/>
      <c r="F173" s="52"/>
      <c r="G173" s="52"/>
      <c r="H173" s="51"/>
      <c r="I173" s="52"/>
    </row>
    <row r="174" spans="1:9" x14ac:dyDescent="0.25">
      <c r="A174" s="51"/>
      <c r="B174" s="52"/>
      <c r="C174" s="51"/>
      <c r="D174" s="51"/>
      <c r="E174" s="51"/>
      <c r="F174" s="52"/>
      <c r="G174" s="52"/>
      <c r="H174" s="51"/>
      <c r="I174" s="52"/>
    </row>
    <row r="175" spans="1:9" x14ac:dyDescent="0.25">
      <c r="A175" s="51"/>
      <c r="B175" s="52"/>
      <c r="C175" s="51"/>
      <c r="D175" s="51"/>
      <c r="E175" s="51"/>
      <c r="F175" s="52"/>
      <c r="G175" s="52"/>
      <c r="H175" s="51"/>
      <c r="I175" s="52"/>
    </row>
    <row r="176" spans="1:9" x14ac:dyDescent="0.25">
      <c r="A176" s="51"/>
      <c r="B176" s="52"/>
      <c r="C176" s="51"/>
      <c r="D176" s="51"/>
      <c r="E176" s="51"/>
      <c r="F176" s="52"/>
      <c r="G176" s="52"/>
      <c r="H176" s="51"/>
      <c r="I176" s="52"/>
    </row>
    <row r="177" spans="1:9" x14ac:dyDescent="0.25">
      <c r="A177" s="51"/>
      <c r="B177" s="52"/>
      <c r="C177" s="51"/>
      <c r="D177" s="51"/>
      <c r="E177" s="51"/>
      <c r="F177" s="52"/>
      <c r="G177" s="52"/>
      <c r="H177" s="51"/>
      <c r="I177" s="52"/>
    </row>
    <row r="178" spans="1:9" x14ac:dyDescent="0.25">
      <c r="A178" s="51"/>
      <c r="B178" s="52"/>
      <c r="C178" s="51"/>
      <c r="D178" s="51"/>
      <c r="E178" s="51"/>
      <c r="F178" s="52"/>
      <c r="G178" s="52"/>
      <c r="H178" s="51"/>
      <c r="I178" s="52"/>
    </row>
    <row r="179" spans="1:9" x14ac:dyDescent="0.25">
      <c r="A179" s="51"/>
      <c r="B179" s="52"/>
      <c r="C179" s="51"/>
      <c r="D179" s="51"/>
      <c r="E179" s="51"/>
      <c r="F179" s="52"/>
      <c r="G179" s="52"/>
      <c r="H179" s="51"/>
      <c r="I179" s="52"/>
    </row>
    <row r="180" spans="1:9" x14ac:dyDescent="0.25">
      <c r="A180" s="51"/>
      <c r="B180" s="52"/>
      <c r="C180" s="51"/>
      <c r="D180" s="51"/>
      <c r="E180" s="51"/>
      <c r="F180" s="52"/>
      <c r="G180" s="52"/>
      <c r="H180" s="51"/>
      <c r="I180" s="52"/>
    </row>
    <row r="181" spans="1:9" x14ac:dyDescent="0.25">
      <c r="A181" s="51"/>
      <c r="B181" s="52"/>
      <c r="C181" s="51"/>
      <c r="D181" s="51"/>
      <c r="E181" s="51"/>
      <c r="F181" s="52"/>
      <c r="G181" s="52"/>
      <c r="H181" s="51"/>
      <c r="I181" s="52"/>
    </row>
    <row r="182" spans="1:9" x14ac:dyDescent="0.25">
      <c r="A182" s="51"/>
      <c r="B182" s="52"/>
      <c r="C182" s="51"/>
      <c r="D182" s="51"/>
      <c r="E182" s="51"/>
      <c r="F182" s="52"/>
      <c r="G182" s="52"/>
      <c r="H182" s="51"/>
      <c r="I182" s="52"/>
    </row>
    <row r="183" spans="1:9" x14ac:dyDescent="0.25">
      <c r="A183" s="51"/>
      <c r="B183" s="52"/>
      <c r="C183" s="51"/>
      <c r="D183" s="51"/>
      <c r="E183" s="51"/>
      <c r="F183" s="52"/>
      <c r="G183" s="52"/>
      <c r="H183" s="51"/>
      <c r="I183" s="52"/>
    </row>
    <row r="184" spans="1:9" x14ac:dyDescent="0.25">
      <c r="A184" s="51"/>
      <c r="B184" s="52"/>
      <c r="C184" s="51"/>
      <c r="D184" s="51"/>
      <c r="E184" s="51"/>
      <c r="F184" s="52"/>
      <c r="G184" s="52"/>
      <c r="H184" s="51"/>
      <c r="I184" s="52"/>
    </row>
    <row r="185" spans="1:9" x14ac:dyDescent="0.25">
      <c r="A185" s="51"/>
      <c r="B185" s="52"/>
      <c r="C185" s="51"/>
      <c r="D185" s="51"/>
      <c r="E185" s="51"/>
      <c r="F185" s="52"/>
      <c r="G185" s="52"/>
      <c r="H185" s="51"/>
      <c r="I185" s="52"/>
    </row>
    <row r="186" spans="1:9" x14ac:dyDescent="0.25">
      <c r="A186" s="51"/>
      <c r="B186" s="52"/>
      <c r="C186" s="51"/>
      <c r="D186" s="51"/>
      <c r="E186" s="51"/>
      <c r="F186" s="52"/>
      <c r="G186" s="52"/>
      <c r="H186" s="51"/>
      <c r="I186" s="52"/>
    </row>
    <row r="187" spans="1:9" x14ac:dyDescent="0.25">
      <c r="A187" s="51"/>
      <c r="B187" s="52"/>
      <c r="C187" s="51"/>
      <c r="D187" s="51"/>
      <c r="E187" s="51"/>
      <c r="F187" s="52"/>
      <c r="G187" s="52"/>
      <c r="H187" s="51"/>
      <c r="I187" s="52"/>
    </row>
    <row r="188" spans="1:9" x14ac:dyDescent="0.25">
      <c r="A188" s="51"/>
      <c r="B188" s="52"/>
      <c r="C188" s="51"/>
      <c r="D188" s="51"/>
      <c r="E188" s="51"/>
      <c r="F188" s="52"/>
      <c r="G188" s="52"/>
      <c r="H188" s="51"/>
      <c r="I188" s="52"/>
    </row>
    <row r="189" spans="1:9" x14ac:dyDescent="0.25">
      <c r="A189" s="51"/>
      <c r="B189" s="52"/>
      <c r="C189" s="51"/>
      <c r="D189" s="51"/>
      <c r="E189" s="51"/>
      <c r="F189" s="52"/>
      <c r="G189" s="52"/>
      <c r="H189" s="51"/>
      <c r="I189" s="52"/>
    </row>
    <row r="190" spans="1:9" x14ac:dyDescent="0.25">
      <c r="A190" s="51"/>
      <c r="B190" s="52"/>
      <c r="C190" s="51"/>
      <c r="D190" s="51"/>
      <c r="E190" s="51"/>
      <c r="F190" s="52"/>
      <c r="G190" s="52"/>
      <c r="H190" s="51"/>
      <c r="I190" s="52"/>
    </row>
    <row r="191" spans="1:9" x14ac:dyDescent="0.25">
      <c r="A191" s="51"/>
      <c r="B191" s="52"/>
      <c r="C191" s="51"/>
      <c r="D191" s="51"/>
      <c r="E191" s="51"/>
      <c r="F191" s="52"/>
      <c r="G191" s="52"/>
      <c r="H191" s="51"/>
      <c r="I191" s="52"/>
    </row>
    <row r="192" spans="1:9" x14ac:dyDescent="0.25">
      <c r="A192" s="51"/>
      <c r="B192" s="52"/>
      <c r="C192" s="51"/>
      <c r="D192" s="51"/>
      <c r="E192" s="51"/>
      <c r="F192" s="52"/>
      <c r="G192" s="52"/>
      <c r="H192" s="51"/>
      <c r="I192" s="52"/>
    </row>
    <row r="193" spans="1:9" x14ac:dyDescent="0.25">
      <c r="A193" s="51"/>
      <c r="B193" s="52"/>
      <c r="C193" s="51"/>
      <c r="D193" s="51"/>
      <c r="E193" s="51"/>
      <c r="F193" s="52"/>
      <c r="G193" s="52"/>
      <c r="H193" s="51"/>
      <c r="I193" s="52"/>
    </row>
    <row r="194" spans="1:9" x14ac:dyDescent="0.25">
      <c r="A194" s="51"/>
      <c r="B194" s="52"/>
      <c r="C194" s="51"/>
      <c r="D194" s="51"/>
      <c r="E194" s="51"/>
      <c r="F194" s="52"/>
      <c r="G194" s="52"/>
      <c r="H194" s="51"/>
      <c r="I194" s="52"/>
    </row>
    <row r="195" spans="1:9" x14ac:dyDescent="0.25">
      <c r="A195" s="51"/>
      <c r="B195" s="52"/>
      <c r="C195" s="51"/>
      <c r="D195" s="51"/>
      <c r="E195" s="51"/>
      <c r="F195" s="52"/>
      <c r="G195" s="52"/>
      <c r="H195" s="51"/>
      <c r="I195" s="52"/>
    </row>
    <row r="196" spans="1:9" x14ac:dyDescent="0.25">
      <c r="A196" s="51"/>
      <c r="B196" s="52"/>
      <c r="C196" s="51"/>
      <c r="D196" s="51"/>
      <c r="E196" s="51"/>
      <c r="F196" s="52"/>
      <c r="G196" s="52"/>
      <c r="H196" s="51"/>
      <c r="I196" s="52"/>
    </row>
    <row r="197" spans="1:9" x14ac:dyDescent="0.25">
      <c r="A197" s="51"/>
      <c r="B197" s="52"/>
      <c r="C197" s="51"/>
      <c r="D197" s="51"/>
      <c r="E197" s="51"/>
      <c r="F197" s="52"/>
      <c r="G197" s="52"/>
      <c r="H197" s="51"/>
      <c r="I197" s="52"/>
    </row>
    <row r="198" spans="1:9" x14ac:dyDescent="0.25">
      <c r="A198" s="51"/>
      <c r="B198" s="52"/>
      <c r="C198" s="51"/>
      <c r="D198" s="51"/>
      <c r="E198" s="51"/>
      <c r="F198" s="52"/>
      <c r="G198" s="52"/>
      <c r="H198" s="51"/>
      <c r="I198" s="52"/>
    </row>
    <row r="199" spans="1:9" x14ac:dyDescent="0.25">
      <c r="A199" s="51"/>
      <c r="B199" s="52"/>
      <c r="C199" s="51"/>
      <c r="D199" s="51"/>
      <c r="E199" s="51"/>
      <c r="F199" s="52"/>
      <c r="G199" s="52"/>
      <c r="H199" s="51"/>
      <c r="I199" s="52"/>
    </row>
    <row r="200" spans="1:9" x14ac:dyDescent="0.25">
      <c r="A200" s="51"/>
      <c r="B200" s="52"/>
      <c r="C200" s="51"/>
      <c r="D200" s="51"/>
      <c r="E200" s="51"/>
      <c r="F200" s="52"/>
      <c r="G200" s="52"/>
      <c r="H200" s="51"/>
      <c r="I200" s="52"/>
    </row>
    <row r="201" spans="1:9" x14ac:dyDescent="0.25">
      <c r="A201" s="51"/>
      <c r="B201" s="52"/>
      <c r="C201" s="51"/>
      <c r="D201" s="51"/>
      <c r="E201" s="51"/>
      <c r="F201" s="52"/>
      <c r="G201" s="52"/>
      <c r="H201" s="51"/>
      <c r="I201" s="52"/>
    </row>
    <row r="202" spans="1:9" x14ac:dyDescent="0.25">
      <c r="A202" s="51"/>
      <c r="B202" s="52"/>
      <c r="C202" s="51"/>
      <c r="D202" s="51"/>
      <c r="E202" s="51"/>
      <c r="F202" s="52"/>
      <c r="G202" s="52"/>
      <c r="H202" s="51"/>
      <c r="I202" s="52"/>
    </row>
    <row r="203" spans="1:9" x14ac:dyDescent="0.25">
      <c r="A203" s="51"/>
      <c r="B203" s="52"/>
      <c r="C203" s="51"/>
      <c r="D203" s="51"/>
      <c r="E203" s="51"/>
      <c r="F203" s="52"/>
      <c r="G203" s="52"/>
      <c r="H203" s="51"/>
      <c r="I203" s="52"/>
    </row>
    <row r="204" spans="1:9" x14ac:dyDescent="0.25">
      <c r="A204" s="51"/>
      <c r="B204" s="52"/>
      <c r="C204" s="51"/>
      <c r="D204" s="51"/>
      <c r="E204" s="51"/>
      <c r="F204" s="52"/>
      <c r="G204" s="52"/>
      <c r="H204" s="51"/>
      <c r="I204" s="52"/>
    </row>
    <row r="205" spans="1:9" x14ac:dyDescent="0.25">
      <c r="A205" s="51"/>
      <c r="B205" s="52"/>
      <c r="C205" s="51"/>
      <c r="D205" s="51"/>
      <c r="E205" s="51"/>
      <c r="F205" s="52"/>
      <c r="G205" s="52"/>
      <c r="H205" s="51"/>
      <c r="I205" s="52"/>
    </row>
    <row r="206" spans="1:9" x14ac:dyDescent="0.25">
      <c r="A206" s="51"/>
      <c r="B206" s="52"/>
      <c r="C206" s="51"/>
      <c r="D206" s="51"/>
      <c r="E206" s="51"/>
      <c r="F206" s="52"/>
      <c r="G206" s="52"/>
      <c r="H206" s="51"/>
      <c r="I206" s="52"/>
    </row>
    <row r="207" spans="1:9" x14ac:dyDescent="0.25">
      <c r="A207" s="51"/>
      <c r="B207" s="52"/>
      <c r="C207" s="51"/>
      <c r="D207" s="51"/>
      <c r="E207" s="51"/>
      <c r="F207" s="52"/>
      <c r="G207" s="52"/>
      <c r="H207" s="51"/>
      <c r="I207" s="52"/>
    </row>
    <row r="208" spans="1:9" x14ac:dyDescent="0.25">
      <c r="A208" s="51"/>
      <c r="B208" s="52"/>
      <c r="C208" s="51"/>
      <c r="D208" s="51"/>
      <c r="E208" s="51"/>
      <c r="F208" s="52"/>
      <c r="G208" s="52"/>
      <c r="H208" s="51"/>
      <c r="I208" s="52"/>
    </row>
    <row r="209" spans="1:9" x14ac:dyDescent="0.25">
      <c r="A209" s="51"/>
      <c r="B209" s="52"/>
      <c r="C209" s="51"/>
      <c r="D209" s="51"/>
      <c r="E209" s="51"/>
      <c r="F209" s="52"/>
      <c r="G209" s="52"/>
      <c r="H209" s="51"/>
      <c r="I209" s="52"/>
    </row>
    <row r="210" spans="1:9" x14ac:dyDescent="0.25">
      <c r="A210" s="51"/>
      <c r="B210" s="52"/>
      <c r="C210" s="51"/>
      <c r="D210" s="51"/>
      <c r="E210" s="51"/>
      <c r="F210" s="52"/>
      <c r="G210" s="52"/>
      <c r="H210" s="51"/>
      <c r="I210" s="52"/>
    </row>
    <row r="211" spans="1:9" x14ac:dyDescent="0.25">
      <c r="A211" s="51"/>
      <c r="B211" s="52"/>
      <c r="C211" s="51"/>
      <c r="D211" s="51"/>
      <c r="E211" s="51"/>
      <c r="F211" s="52"/>
      <c r="G211" s="52"/>
      <c r="H211" s="51"/>
      <c r="I211" s="52"/>
    </row>
    <row r="212" spans="1:9" x14ac:dyDescent="0.25">
      <c r="A212" s="51"/>
      <c r="B212" s="52"/>
      <c r="C212" s="51"/>
      <c r="D212" s="51"/>
      <c r="E212" s="51"/>
      <c r="F212" s="52"/>
      <c r="G212" s="52"/>
      <c r="H212" s="51"/>
      <c r="I212" s="52"/>
    </row>
    <row r="213" spans="1:9" x14ac:dyDescent="0.25">
      <c r="A213" s="51"/>
      <c r="B213" s="52"/>
      <c r="C213" s="51"/>
      <c r="D213" s="51"/>
      <c r="E213" s="51"/>
      <c r="F213" s="52"/>
      <c r="G213" s="52"/>
      <c r="H213" s="51"/>
      <c r="I213" s="52"/>
    </row>
    <row r="214" spans="1:9" x14ac:dyDescent="0.25">
      <c r="A214" s="51"/>
      <c r="B214" s="52"/>
      <c r="C214" s="51"/>
      <c r="D214" s="51"/>
      <c r="E214" s="51"/>
      <c r="F214" s="52"/>
      <c r="G214" s="52"/>
      <c r="H214" s="51"/>
      <c r="I214" s="52"/>
    </row>
    <row r="215" spans="1:9" x14ac:dyDescent="0.25">
      <c r="A215" s="51"/>
      <c r="B215" s="52"/>
      <c r="C215" s="51"/>
      <c r="D215" s="51"/>
      <c r="E215" s="51"/>
      <c r="F215" s="52"/>
      <c r="G215" s="52"/>
      <c r="H215" s="51"/>
      <c r="I215" s="52"/>
    </row>
    <row r="216" spans="1:9" x14ac:dyDescent="0.25">
      <c r="A216" s="51"/>
      <c r="B216" s="52"/>
      <c r="C216" s="51"/>
      <c r="D216" s="51"/>
      <c r="E216" s="51"/>
      <c r="F216" s="52"/>
      <c r="G216" s="52"/>
      <c r="H216" s="51"/>
      <c r="I216" s="52"/>
    </row>
    <row r="217" spans="1:9" x14ac:dyDescent="0.25">
      <c r="A217" s="51"/>
      <c r="B217" s="52"/>
      <c r="C217" s="51"/>
      <c r="D217" s="51"/>
      <c r="E217" s="51"/>
      <c r="F217" s="52"/>
      <c r="G217" s="52"/>
      <c r="H217" s="51"/>
      <c r="I217" s="52"/>
    </row>
    <row r="218" spans="1:9" x14ac:dyDescent="0.25">
      <c r="A218" s="51"/>
      <c r="B218" s="52"/>
      <c r="C218" s="51"/>
      <c r="D218" s="51"/>
      <c r="E218" s="51"/>
      <c r="F218" s="52"/>
      <c r="G218" s="52"/>
      <c r="H218" s="51"/>
      <c r="I218" s="52"/>
    </row>
    <row r="219" spans="1:9" x14ac:dyDescent="0.25">
      <c r="A219" s="51"/>
      <c r="B219" s="52"/>
      <c r="C219" s="51"/>
      <c r="D219" s="51"/>
      <c r="E219" s="51"/>
      <c r="F219" s="52"/>
      <c r="G219" s="52"/>
      <c r="H219" s="51"/>
      <c r="I219" s="52"/>
    </row>
    <row r="220" spans="1:9" x14ac:dyDescent="0.25">
      <c r="A220" s="51"/>
      <c r="B220" s="52"/>
      <c r="C220" s="51"/>
      <c r="D220" s="51"/>
      <c r="E220" s="51"/>
      <c r="F220" s="52"/>
      <c r="G220" s="52"/>
      <c r="H220" s="51"/>
      <c r="I220" s="52"/>
    </row>
    <row r="221" spans="1:9" x14ac:dyDescent="0.25">
      <c r="A221" s="51"/>
      <c r="B221" s="52"/>
      <c r="C221" s="51"/>
      <c r="D221" s="51"/>
      <c r="E221" s="51"/>
      <c r="F221" s="52"/>
      <c r="G221" s="52"/>
      <c r="H221" s="51"/>
      <c r="I221" s="52"/>
    </row>
    <row r="222" spans="1:9" x14ac:dyDescent="0.25">
      <c r="A222" s="51"/>
      <c r="B222" s="52"/>
      <c r="C222" s="51"/>
      <c r="D222" s="51"/>
      <c r="E222" s="51"/>
      <c r="F222" s="52"/>
      <c r="G222" s="52"/>
      <c r="H222" s="51"/>
      <c r="I222" s="52"/>
    </row>
    <row r="223" spans="1:9" x14ac:dyDescent="0.25">
      <c r="A223" s="51"/>
      <c r="B223" s="52"/>
      <c r="C223" s="51"/>
      <c r="D223" s="51"/>
      <c r="E223" s="51"/>
      <c r="F223" s="52"/>
      <c r="G223" s="52"/>
      <c r="H223" s="51"/>
      <c r="I223" s="52"/>
    </row>
    <row r="224" spans="1:9" x14ac:dyDescent="0.25">
      <c r="A224" s="51"/>
      <c r="B224" s="52"/>
      <c r="C224" s="51"/>
      <c r="D224" s="51"/>
      <c r="E224" s="51"/>
      <c r="F224" s="52"/>
      <c r="G224" s="52"/>
      <c r="H224" s="51"/>
      <c r="I224" s="52"/>
    </row>
    <row r="225" spans="1:9" x14ac:dyDescent="0.25">
      <c r="A225" s="51"/>
      <c r="B225" s="52"/>
      <c r="C225" s="51"/>
      <c r="D225" s="51"/>
      <c r="E225" s="51"/>
      <c r="F225" s="52"/>
      <c r="G225" s="52"/>
      <c r="H225" s="51"/>
      <c r="I225" s="52"/>
    </row>
    <row r="226" spans="1:9" x14ac:dyDescent="0.25">
      <c r="A226" s="51"/>
      <c r="B226" s="52"/>
      <c r="C226" s="51"/>
      <c r="D226" s="51"/>
      <c r="E226" s="51"/>
      <c r="F226" s="52"/>
      <c r="G226" s="52"/>
      <c r="H226" s="51"/>
      <c r="I226" s="52"/>
    </row>
    <row r="227" spans="1:9" x14ac:dyDescent="0.25">
      <c r="A227" s="51"/>
      <c r="B227" s="52"/>
      <c r="C227" s="51"/>
      <c r="D227" s="51"/>
      <c r="E227" s="51"/>
      <c r="F227" s="52"/>
      <c r="G227" s="52"/>
      <c r="H227" s="51"/>
      <c r="I227" s="52"/>
    </row>
    <row r="228" spans="1:9" x14ac:dyDescent="0.25">
      <c r="A228" s="51"/>
      <c r="B228" s="52"/>
      <c r="C228" s="51"/>
      <c r="D228" s="51"/>
      <c r="E228" s="51"/>
      <c r="F228" s="52"/>
      <c r="G228" s="52"/>
      <c r="H228" s="51"/>
      <c r="I228" s="52"/>
    </row>
    <row r="229" spans="1:9" x14ac:dyDescent="0.25">
      <c r="A229" s="51"/>
      <c r="B229" s="52"/>
      <c r="C229" s="51"/>
      <c r="D229" s="51"/>
      <c r="E229" s="51"/>
      <c r="F229" s="52"/>
      <c r="G229" s="52"/>
      <c r="H229" s="51"/>
      <c r="I229" s="52"/>
    </row>
    <row r="230" spans="1:9" x14ac:dyDescent="0.25">
      <c r="A230" s="51"/>
      <c r="B230" s="52"/>
      <c r="C230" s="51"/>
      <c r="D230" s="51"/>
      <c r="E230" s="51"/>
      <c r="F230" s="52"/>
      <c r="G230" s="52"/>
      <c r="H230" s="51"/>
      <c r="I230" s="52"/>
    </row>
    <row r="231" spans="1:9" x14ac:dyDescent="0.25">
      <c r="A231" s="51"/>
      <c r="B231" s="52"/>
      <c r="C231" s="51"/>
      <c r="D231" s="51"/>
      <c r="E231" s="51"/>
      <c r="F231" s="52"/>
      <c r="G231" s="52"/>
      <c r="H231" s="51"/>
      <c r="I231" s="52"/>
    </row>
    <row r="232" spans="1:9" x14ac:dyDescent="0.25">
      <c r="A232" s="51"/>
      <c r="B232" s="52"/>
      <c r="C232" s="51"/>
      <c r="D232" s="51"/>
      <c r="E232" s="51"/>
      <c r="F232" s="52"/>
      <c r="G232" s="52"/>
      <c r="H232" s="51"/>
      <c r="I232" s="52"/>
    </row>
    <row r="233" spans="1:9" x14ac:dyDescent="0.25">
      <c r="A233" s="51"/>
      <c r="B233" s="52"/>
      <c r="C233" s="51"/>
      <c r="D233" s="51"/>
      <c r="E233" s="51"/>
      <c r="F233" s="52"/>
      <c r="G233" s="52"/>
      <c r="H233" s="51"/>
      <c r="I233" s="52"/>
    </row>
    <row r="234" spans="1:9" x14ac:dyDescent="0.25">
      <c r="A234" s="51"/>
      <c r="B234" s="52"/>
      <c r="C234" s="51"/>
      <c r="D234" s="51"/>
      <c r="E234" s="51"/>
      <c r="F234" s="52"/>
      <c r="G234" s="52"/>
      <c r="H234" s="51"/>
      <c r="I234" s="52"/>
    </row>
    <row r="235" spans="1:9" x14ac:dyDescent="0.25">
      <c r="A235" s="51"/>
      <c r="B235" s="52"/>
      <c r="C235" s="51"/>
      <c r="D235" s="51"/>
      <c r="E235" s="51"/>
      <c r="F235" s="52"/>
      <c r="G235" s="52"/>
      <c r="H235" s="51"/>
      <c r="I235" s="52"/>
    </row>
    <row r="236" spans="1:9" x14ac:dyDescent="0.25">
      <c r="A236" s="51"/>
      <c r="B236" s="52"/>
      <c r="C236" s="51"/>
      <c r="D236" s="51"/>
      <c r="E236" s="51"/>
      <c r="F236" s="52"/>
      <c r="G236" s="52"/>
      <c r="H236" s="51"/>
      <c r="I236" s="52"/>
    </row>
    <row r="237" spans="1:9" x14ac:dyDescent="0.25">
      <c r="A237" s="51"/>
      <c r="B237" s="52"/>
      <c r="C237" s="51"/>
      <c r="D237" s="51"/>
      <c r="E237" s="51"/>
      <c r="F237" s="52"/>
      <c r="G237" s="52"/>
      <c r="H237" s="51"/>
      <c r="I237" s="52"/>
    </row>
    <row r="238" spans="1:9" x14ac:dyDescent="0.25">
      <c r="A238" s="51"/>
      <c r="B238" s="52"/>
      <c r="C238" s="51"/>
      <c r="D238" s="51"/>
      <c r="E238" s="51"/>
      <c r="F238" s="52"/>
      <c r="G238" s="52"/>
      <c r="H238" s="51"/>
      <c r="I238" s="52"/>
    </row>
    <row r="239" spans="1:9" x14ac:dyDescent="0.25">
      <c r="A239" s="51"/>
      <c r="B239" s="52"/>
      <c r="C239" s="51"/>
      <c r="D239" s="51"/>
      <c r="E239" s="51"/>
      <c r="F239" s="52"/>
      <c r="G239" s="52"/>
      <c r="H239" s="51"/>
      <c r="I239" s="52"/>
    </row>
    <row r="240" spans="1:9" x14ac:dyDescent="0.25">
      <c r="A240" s="51"/>
      <c r="B240" s="52"/>
      <c r="C240" s="51"/>
      <c r="D240" s="51"/>
      <c r="E240" s="51"/>
      <c r="F240" s="52"/>
      <c r="G240" s="52"/>
      <c r="H240" s="51"/>
      <c r="I240" s="52"/>
    </row>
    <row r="241" spans="1:9" x14ac:dyDescent="0.25">
      <c r="A241" s="51"/>
      <c r="B241" s="52"/>
      <c r="C241" s="51"/>
      <c r="D241" s="51"/>
      <c r="E241" s="51"/>
      <c r="F241" s="52"/>
      <c r="G241" s="52"/>
      <c r="H241" s="51"/>
      <c r="I241" s="52"/>
    </row>
    <row r="242" spans="1:9" x14ac:dyDescent="0.25">
      <c r="A242" s="51"/>
      <c r="B242" s="52"/>
      <c r="C242" s="51"/>
      <c r="D242" s="51"/>
      <c r="E242" s="51"/>
      <c r="F242" s="52"/>
      <c r="G242" s="52"/>
      <c r="H242" s="51"/>
      <c r="I242" s="52"/>
    </row>
    <row r="243" spans="1:9" x14ac:dyDescent="0.25">
      <c r="A243" s="51"/>
      <c r="B243" s="52"/>
      <c r="C243" s="51"/>
      <c r="D243" s="51"/>
      <c r="E243" s="51"/>
      <c r="F243" s="52"/>
      <c r="G243" s="52"/>
      <c r="H243" s="51"/>
      <c r="I243" s="52"/>
    </row>
    <row r="244" spans="1:9" x14ac:dyDescent="0.25">
      <c r="A244" s="51"/>
      <c r="B244" s="52"/>
      <c r="C244" s="51"/>
      <c r="D244" s="51"/>
      <c r="E244" s="51"/>
      <c r="F244" s="52"/>
      <c r="G244" s="52"/>
      <c r="H244" s="51"/>
      <c r="I244" s="52"/>
    </row>
    <row r="245" spans="1:9" x14ac:dyDescent="0.25">
      <c r="A245" s="51"/>
      <c r="B245" s="52"/>
      <c r="C245" s="51"/>
      <c r="D245" s="51"/>
      <c r="E245" s="51"/>
      <c r="F245" s="52"/>
      <c r="G245" s="52"/>
      <c r="H245" s="51"/>
      <c r="I245" s="52"/>
    </row>
    <row r="246" spans="1:9" x14ac:dyDescent="0.25">
      <c r="A246" s="51"/>
      <c r="B246" s="52"/>
      <c r="C246" s="51"/>
      <c r="D246" s="51"/>
      <c r="E246" s="51"/>
      <c r="F246" s="52"/>
      <c r="G246" s="52"/>
      <c r="H246" s="51"/>
      <c r="I246" s="52"/>
    </row>
    <row r="247" spans="1:9" x14ac:dyDescent="0.25">
      <c r="A247" s="51"/>
      <c r="B247" s="52"/>
      <c r="C247" s="51"/>
      <c r="D247" s="51"/>
      <c r="E247" s="51"/>
      <c r="F247" s="52"/>
      <c r="G247" s="52"/>
      <c r="H247" s="51"/>
      <c r="I247" s="52"/>
    </row>
    <row r="248" spans="1:9" x14ac:dyDescent="0.25">
      <c r="A248" s="51"/>
      <c r="B248" s="52"/>
      <c r="C248" s="51"/>
      <c r="D248" s="51"/>
      <c r="E248" s="51"/>
      <c r="F248" s="52"/>
      <c r="G248" s="52"/>
      <c r="H248" s="51"/>
      <c r="I248" s="52"/>
    </row>
    <row r="249" spans="1:9" x14ac:dyDescent="0.25">
      <c r="A249" s="51"/>
      <c r="B249" s="52"/>
      <c r="C249" s="51"/>
      <c r="D249" s="51"/>
      <c r="E249" s="51"/>
      <c r="F249" s="52"/>
      <c r="G249" s="52"/>
      <c r="H249" s="51"/>
      <c r="I249" s="52"/>
    </row>
    <row r="250" spans="1:9" x14ac:dyDescent="0.25">
      <c r="A250" s="51"/>
      <c r="B250" s="52"/>
      <c r="C250" s="51"/>
      <c r="D250" s="51"/>
      <c r="E250" s="51"/>
      <c r="F250" s="52"/>
      <c r="G250" s="52"/>
      <c r="H250" s="51"/>
      <c r="I250" s="52"/>
    </row>
    <row r="251" spans="1:9" x14ac:dyDescent="0.25">
      <c r="A251" s="51"/>
      <c r="B251" s="52"/>
      <c r="C251" s="51"/>
      <c r="D251" s="51"/>
      <c r="E251" s="51"/>
      <c r="F251" s="52"/>
      <c r="G251" s="52"/>
      <c r="H251" s="51"/>
      <c r="I251" s="52"/>
    </row>
    <row r="252" spans="1:9" x14ac:dyDescent="0.25">
      <c r="A252" s="51"/>
      <c r="B252" s="52"/>
      <c r="C252" s="51"/>
      <c r="D252" s="51"/>
      <c r="E252" s="51"/>
      <c r="F252" s="52"/>
      <c r="G252" s="52"/>
      <c r="H252" s="51"/>
      <c r="I252" s="52"/>
    </row>
    <row r="253" spans="1:9" x14ac:dyDescent="0.25">
      <c r="A253" s="51"/>
      <c r="B253" s="52"/>
      <c r="C253" s="51"/>
      <c r="D253" s="51"/>
      <c r="E253" s="51"/>
      <c r="F253" s="52"/>
      <c r="G253" s="52"/>
      <c r="H253" s="51"/>
      <c r="I253" s="52"/>
    </row>
    <row r="254" spans="1:9" x14ac:dyDescent="0.25">
      <c r="A254" s="51"/>
      <c r="B254" s="52"/>
      <c r="C254" s="51"/>
      <c r="D254" s="51"/>
      <c r="E254" s="51"/>
      <c r="F254" s="52"/>
      <c r="G254" s="52"/>
      <c r="H254" s="51"/>
      <c r="I254" s="52"/>
    </row>
    <row r="255" spans="1:9" x14ac:dyDescent="0.25">
      <c r="A255" s="51"/>
      <c r="B255" s="52"/>
      <c r="C255" s="51"/>
      <c r="D255" s="51"/>
      <c r="E255" s="51"/>
      <c r="F255" s="52"/>
      <c r="G255" s="52"/>
      <c r="H255" s="51"/>
      <c r="I255" s="52"/>
    </row>
    <row r="256" spans="1:9" x14ac:dyDescent="0.25">
      <c r="A256" s="51"/>
      <c r="B256" s="52"/>
      <c r="C256" s="51"/>
      <c r="D256" s="51"/>
      <c r="E256" s="51"/>
      <c r="F256" s="52"/>
      <c r="G256" s="52"/>
      <c r="H256" s="51"/>
      <c r="I256" s="52"/>
    </row>
    <row r="257" spans="1:9" x14ac:dyDescent="0.25">
      <c r="A257" s="51"/>
      <c r="B257" s="52"/>
      <c r="C257" s="51"/>
      <c r="D257" s="51"/>
      <c r="E257" s="51"/>
      <c r="F257" s="52"/>
      <c r="G257" s="52"/>
      <c r="H257" s="51"/>
      <c r="I257" s="52"/>
    </row>
    <row r="258" spans="1:9" x14ac:dyDescent="0.25">
      <c r="A258" s="51"/>
      <c r="B258" s="52"/>
      <c r="C258" s="51"/>
      <c r="D258" s="51"/>
      <c r="E258" s="51"/>
      <c r="F258" s="52"/>
      <c r="G258" s="52"/>
      <c r="H258" s="51"/>
      <c r="I258" s="52"/>
    </row>
    <row r="259" spans="1:9" x14ac:dyDescent="0.25">
      <c r="A259" s="51"/>
      <c r="B259" s="52"/>
      <c r="C259" s="51"/>
      <c r="D259" s="51"/>
      <c r="E259" s="51"/>
      <c r="F259" s="52"/>
      <c r="G259" s="52"/>
      <c r="H259" s="51"/>
      <c r="I259" s="52"/>
    </row>
    <row r="260" spans="1:9" x14ac:dyDescent="0.25">
      <c r="A260" s="51"/>
      <c r="B260" s="52"/>
      <c r="C260" s="51"/>
      <c r="D260" s="51"/>
      <c r="E260" s="51"/>
      <c r="F260" s="52"/>
      <c r="G260" s="52"/>
      <c r="H260" s="51"/>
      <c r="I260" s="52"/>
    </row>
    <row r="261" spans="1:9" x14ac:dyDescent="0.25">
      <c r="A261" s="51"/>
      <c r="B261" s="52"/>
      <c r="C261" s="51"/>
      <c r="D261" s="51"/>
      <c r="E261" s="51"/>
      <c r="F261" s="52"/>
      <c r="G261" s="52"/>
      <c r="H261" s="51"/>
      <c r="I261" s="52"/>
    </row>
    <row r="262" spans="1:9" x14ac:dyDescent="0.25">
      <c r="A262" s="51"/>
      <c r="B262" s="52"/>
      <c r="C262" s="51"/>
      <c r="D262" s="51"/>
      <c r="E262" s="51"/>
      <c r="F262" s="52"/>
      <c r="G262" s="52"/>
      <c r="H262" s="51"/>
      <c r="I262" s="52"/>
    </row>
    <row r="263" spans="1:9" x14ac:dyDescent="0.25">
      <c r="A263" s="51"/>
      <c r="B263" s="52"/>
      <c r="C263" s="51"/>
      <c r="D263" s="51"/>
      <c r="E263" s="51"/>
      <c r="F263" s="52"/>
      <c r="G263" s="52"/>
      <c r="H263" s="51"/>
      <c r="I263" s="52"/>
    </row>
    <row r="264" spans="1:9" x14ac:dyDescent="0.25">
      <c r="A264" s="51"/>
      <c r="B264" s="52"/>
      <c r="C264" s="51"/>
      <c r="D264" s="51"/>
      <c r="E264" s="51"/>
      <c r="F264" s="52"/>
      <c r="G264" s="52"/>
      <c r="H264" s="51"/>
      <c r="I264" s="52"/>
    </row>
    <row r="265" spans="1:9" x14ac:dyDescent="0.25">
      <c r="A265" s="51"/>
      <c r="B265" s="52"/>
      <c r="C265" s="51"/>
      <c r="D265" s="51"/>
      <c r="E265" s="51"/>
      <c r="F265" s="52"/>
      <c r="G265" s="52"/>
      <c r="H265" s="51"/>
      <c r="I265" s="52"/>
    </row>
    <row r="266" spans="1:9" x14ac:dyDescent="0.25">
      <c r="A266" s="51"/>
      <c r="B266" s="52"/>
      <c r="C266" s="51"/>
      <c r="D266" s="51"/>
      <c r="E266" s="51"/>
      <c r="F266" s="52"/>
      <c r="G266" s="52"/>
      <c r="H266" s="51"/>
      <c r="I266" s="52"/>
    </row>
    <row r="267" spans="1:9" x14ac:dyDescent="0.25">
      <c r="A267" s="51"/>
      <c r="B267" s="52"/>
      <c r="C267" s="51"/>
      <c r="D267" s="51"/>
      <c r="E267" s="51"/>
      <c r="F267" s="52"/>
      <c r="G267" s="52"/>
      <c r="H267" s="51"/>
      <c r="I267" s="52"/>
    </row>
    <row r="268" spans="1:9" x14ac:dyDescent="0.25">
      <c r="A268" s="51"/>
      <c r="B268" s="52"/>
      <c r="C268" s="51"/>
      <c r="D268" s="51"/>
      <c r="E268" s="51"/>
      <c r="F268" s="52"/>
      <c r="G268" s="52"/>
      <c r="H268" s="51"/>
      <c r="I268" s="52"/>
    </row>
    <row r="269" spans="1:9" x14ac:dyDescent="0.25">
      <c r="A269" s="51"/>
      <c r="B269" s="52"/>
      <c r="C269" s="51"/>
      <c r="D269" s="51"/>
      <c r="E269" s="51"/>
      <c r="F269" s="52"/>
      <c r="G269" s="52"/>
      <c r="H269" s="51"/>
      <c r="I269" s="52"/>
    </row>
    <row r="270" spans="1:9" x14ac:dyDescent="0.25">
      <c r="A270" s="51"/>
      <c r="B270" s="52"/>
      <c r="C270" s="51"/>
      <c r="D270" s="51"/>
      <c r="E270" s="51"/>
      <c r="F270" s="52"/>
      <c r="G270" s="52"/>
      <c r="H270" s="51"/>
      <c r="I270" s="52"/>
    </row>
    <row r="271" spans="1:9" x14ac:dyDescent="0.25">
      <c r="A271" s="51"/>
      <c r="B271" s="52"/>
      <c r="C271" s="51"/>
      <c r="D271" s="51"/>
      <c r="E271" s="51"/>
      <c r="F271" s="52"/>
      <c r="G271" s="52"/>
      <c r="H271" s="51"/>
      <c r="I271" s="52"/>
    </row>
    <row r="272" spans="1:9" x14ac:dyDescent="0.25">
      <c r="A272" s="51"/>
      <c r="B272" s="52"/>
      <c r="C272" s="51"/>
      <c r="D272" s="51"/>
      <c r="E272" s="51"/>
      <c r="F272" s="52"/>
      <c r="G272" s="52"/>
      <c r="H272" s="51"/>
      <c r="I272" s="52"/>
    </row>
    <row r="273" spans="1:9" x14ac:dyDescent="0.25">
      <c r="A273" s="51"/>
      <c r="B273" s="52"/>
      <c r="C273" s="51"/>
      <c r="D273" s="51"/>
      <c r="E273" s="51"/>
      <c r="F273" s="52"/>
      <c r="G273" s="52"/>
      <c r="H273" s="51"/>
      <c r="I273" s="52"/>
    </row>
    <row r="274" spans="1:9" x14ac:dyDescent="0.25">
      <c r="A274" s="51"/>
      <c r="B274" s="52"/>
      <c r="C274" s="51"/>
      <c r="D274" s="51"/>
      <c r="E274" s="51"/>
      <c r="F274" s="52"/>
      <c r="G274" s="52"/>
      <c r="H274" s="51"/>
      <c r="I274" s="52"/>
    </row>
    <row r="275" spans="1:9" x14ac:dyDescent="0.25">
      <c r="A275" s="51"/>
      <c r="B275" s="52"/>
      <c r="C275" s="51"/>
      <c r="D275" s="51"/>
      <c r="E275" s="51"/>
      <c r="F275" s="52"/>
      <c r="G275" s="52"/>
      <c r="H275" s="51"/>
      <c r="I275" s="52"/>
    </row>
    <row r="276" spans="1:9" x14ac:dyDescent="0.25">
      <c r="A276" s="51"/>
      <c r="B276" s="52"/>
      <c r="C276" s="51"/>
      <c r="D276" s="51"/>
      <c r="E276" s="51"/>
      <c r="F276" s="52"/>
      <c r="G276" s="52"/>
      <c r="H276" s="51"/>
      <c r="I276" s="52"/>
    </row>
    <row r="277" spans="1:9" x14ac:dyDescent="0.25">
      <c r="A277" s="51"/>
      <c r="B277" s="52"/>
      <c r="C277" s="51"/>
      <c r="D277" s="51"/>
      <c r="E277" s="51"/>
      <c r="F277" s="52"/>
      <c r="G277" s="52"/>
      <c r="H277" s="51"/>
      <c r="I277" s="52"/>
    </row>
    <row r="278" spans="1:9" x14ac:dyDescent="0.25">
      <c r="A278" s="51"/>
      <c r="B278" s="52"/>
      <c r="C278" s="51"/>
      <c r="D278" s="51"/>
      <c r="E278" s="51"/>
      <c r="F278" s="52"/>
      <c r="G278" s="52"/>
      <c r="H278" s="51"/>
      <c r="I278" s="52"/>
    </row>
    <row r="279" spans="1:9" x14ac:dyDescent="0.25">
      <c r="A279" s="51"/>
      <c r="B279" s="52"/>
      <c r="C279" s="51"/>
      <c r="D279" s="51"/>
      <c r="E279" s="51"/>
      <c r="F279" s="52"/>
      <c r="G279" s="52"/>
      <c r="H279" s="51"/>
      <c r="I279" s="52"/>
    </row>
    <row r="280" spans="1:9" x14ac:dyDescent="0.25">
      <c r="A280" s="51"/>
      <c r="B280" s="52"/>
      <c r="C280" s="51"/>
      <c r="D280" s="51"/>
      <c r="E280" s="51"/>
      <c r="F280" s="52"/>
      <c r="G280" s="52"/>
      <c r="H280" s="51"/>
      <c r="I280" s="52"/>
    </row>
    <row r="281" spans="1:9" x14ac:dyDescent="0.25">
      <c r="A281" s="51"/>
      <c r="B281" s="52"/>
      <c r="C281" s="51"/>
      <c r="D281" s="51"/>
      <c r="E281" s="51"/>
      <c r="F281" s="52"/>
      <c r="G281" s="52"/>
      <c r="H281" s="51"/>
      <c r="I281" s="52"/>
    </row>
    <row r="282" spans="1:9" x14ac:dyDescent="0.25">
      <c r="A282" s="51"/>
      <c r="B282" s="52"/>
      <c r="C282" s="51"/>
      <c r="D282" s="51"/>
      <c r="E282" s="51"/>
      <c r="F282" s="52"/>
      <c r="G282" s="52"/>
      <c r="H282" s="51"/>
      <c r="I282" s="52"/>
    </row>
    <row r="283" spans="1:9" x14ac:dyDescent="0.25">
      <c r="A283" s="51"/>
      <c r="B283" s="52"/>
      <c r="C283" s="51"/>
      <c r="D283" s="51"/>
      <c r="E283" s="51"/>
      <c r="F283" s="52"/>
      <c r="G283" s="52"/>
      <c r="H283" s="51"/>
      <c r="I283" s="52"/>
    </row>
    <row r="284" spans="1:9" x14ac:dyDescent="0.25">
      <c r="A284" s="51"/>
      <c r="B284" s="52"/>
      <c r="C284" s="51"/>
      <c r="D284" s="51"/>
      <c r="E284" s="51"/>
      <c r="F284" s="52"/>
      <c r="G284" s="52"/>
      <c r="H284" s="51"/>
      <c r="I284" s="52"/>
    </row>
    <row r="285" spans="1:9" x14ac:dyDescent="0.25">
      <c r="A285" s="51"/>
      <c r="B285" s="52"/>
      <c r="C285" s="51"/>
      <c r="D285" s="51"/>
      <c r="E285" s="51"/>
      <c r="F285" s="52"/>
      <c r="G285" s="52"/>
      <c r="H285" s="51"/>
      <c r="I285" s="52"/>
    </row>
    <row r="286" spans="1:9" x14ac:dyDescent="0.25">
      <c r="A286" s="51"/>
      <c r="B286" s="52"/>
      <c r="C286" s="51"/>
      <c r="D286" s="51"/>
      <c r="E286" s="51"/>
      <c r="F286" s="52"/>
      <c r="G286" s="52"/>
      <c r="H286" s="51"/>
      <c r="I286" s="52"/>
    </row>
    <row r="287" spans="1:9" x14ac:dyDescent="0.25">
      <c r="A287" s="51"/>
      <c r="B287" s="52"/>
      <c r="C287" s="51"/>
      <c r="D287" s="51"/>
      <c r="E287" s="51"/>
      <c r="F287" s="52"/>
      <c r="G287" s="52"/>
      <c r="H287" s="51"/>
      <c r="I287" s="52"/>
    </row>
    <row r="288" spans="1:9" x14ac:dyDescent="0.25">
      <c r="A288" s="51"/>
      <c r="B288" s="52"/>
      <c r="C288" s="51"/>
      <c r="D288" s="51"/>
      <c r="E288" s="51"/>
      <c r="F288" s="52"/>
      <c r="G288" s="52"/>
      <c r="H288" s="51"/>
      <c r="I288" s="52"/>
    </row>
    <row r="289" spans="1:9" x14ac:dyDescent="0.25">
      <c r="A289" s="51"/>
      <c r="B289" s="52"/>
      <c r="C289" s="51"/>
      <c r="D289" s="51"/>
      <c r="E289" s="51"/>
      <c r="F289" s="52"/>
      <c r="G289" s="52"/>
      <c r="H289" s="51"/>
      <c r="I289" s="52"/>
    </row>
    <row r="290" spans="1:9" x14ac:dyDescent="0.25">
      <c r="A290" s="51"/>
      <c r="B290" s="52"/>
      <c r="C290" s="51"/>
      <c r="D290" s="51"/>
      <c r="E290" s="51"/>
      <c r="F290" s="52"/>
      <c r="G290" s="52"/>
      <c r="H290" s="51"/>
      <c r="I290" s="52"/>
    </row>
    <row r="291" spans="1:9" x14ac:dyDescent="0.25">
      <c r="A291" s="51"/>
      <c r="B291" s="52"/>
      <c r="C291" s="51"/>
      <c r="D291" s="51"/>
      <c r="E291" s="51"/>
      <c r="F291" s="52"/>
      <c r="G291" s="52"/>
      <c r="H291" s="51"/>
      <c r="I291" s="52"/>
    </row>
    <row r="292" spans="1:9" x14ac:dyDescent="0.25">
      <c r="A292" s="51"/>
      <c r="B292" s="52"/>
      <c r="C292" s="51"/>
      <c r="D292" s="51"/>
      <c r="E292" s="51"/>
      <c r="F292" s="52"/>
      <c r="G292" s="52"/>
      <c r="H292" s="51"/>
      <c r="I292" s="52"/>
    </row>
    <row r="293" spans="1:9" x14ac:dyDescent="0.25">
      <c r="A293" s="51"/>
      <c r="B293" s="52"/>
      <c r="C293" s="51"/>
      <c r="D293" s="51"/>
      <c r="E293" s="51"/>
      <c r="F293" s="52"/>
      <c r="G293" s="52"/>
      <c r="H293" s="51"/>
      <c r="I293" s="52"/>
    </row>
    <row r="294" spans="1:9" x14ac:dyDescent="0.25">
      <c r="A294" s="51"/>
      <c r="B294" s="52"/>
      <c r="C294" s="51"/>
      <c r="D294" s="51"/>
      <c r="E294" s="51"/>
      <c r="F294" s="52"/>
      <c r="G294" s="52"/>
      <c r="H294" s="51"/>
      <c r="I294" s="52"/>
    </row>
    <row r="295" spans="1:9" x14ac:dyDescent="0.25">
      <c r="A295" s="51"/>
      <c r="B295" s="52"/>
      <c r="C295" s="51"/>
      <c r="D295" s="51"/>
      <c r="E295" s="51"/>
      <c r="F295" s="52"/>
      <c r="G295" s="52"/>
      <c r="H295" s="51"/>
      <c r="I295" s="52"/>
    </row>
    <row r="296" spans="1:9" x14ac:dyDescent="0.25">
      <c r="A296" s="51"/>
      <c r="B296" s="52"/>
      <c r="C296" s="51"/>
      <c r="D296" s="51"/>
      <c r="E296" s="51"/>
      <c r="F296" s="52"/>
      <c r="G296" s="52"/>
      <c r="H296" s="51"/>
      <c r="I296" s="52"/>
    </row>
    <row r="297" spans="1:9" x14ac:dyDescent="0.25">
      <c r="A297" s="51"/>
      <c r="B297" s="52"/>
      <c r="C297" s="51"/>
      <c r="D297" s="51"/>
      <c r="E297" s="51"/>
      <c r="F297" s="52"/>
      <c r="G297" s="52"/>
      <c r="H297" s="51"/>
      <c r="I297" s="52"/>
    </row>
    <row r="298" spans="1:9" x14ac:dyDescent="0.25">
      <c r="A298" s="51"/>
      <c r="B298" s="52"/>
      <c r="C298" s="51"/>
      <c r="D298" s="51"/>
      <c r="E298" s="51"/>
      <c r="F298" s="52"/>
      <c r="G298" s="52"/>
      <c r="H298" s="51"/>
      <c r="I298" s="52"/>
    </row>
    <row r="299" spans="1:9" x14ac:dyDescent="0.25">
      <c r="A299" s="51"/>
      <c r="B299" s="52"/>
      <c r="C299" s="51"/>
      <c r="D299" s="51"/>
      <c r="E299" s="51"/>
      <c r="F299" s="52"/>
      <c r="G299" s="52"/>
      <c r="H299" s="51"/>
      <c r="I299" s="52"/>
    </row>
    <row r="300" spans="1:9" x14ac:dyDescent="0.25">
      <c r="A300" s="51"/>
      <c r="B300" s="52"/>
      <c r="C300" s="51"/>
      <c r="D300" s="51"/>
      <c r="E300" s="51"/>
      <c r="F300" s="52"/>
      <c r="G300" s="52"/>
      <c r="H300" s="51"/>
      <c r="I300" s="52"/>
    </row>
    <row r="301" spans="1:9" x14ac:dyDescent="0.25">
      <c r="A301" s="51"/>
      <c r="B301" s="52"/>
      <c r="C301" s="51"/>
      <c r="D301" s="51"/>
      <c r="E301" s="51"/>
      <c r="F301" s="52"/>
      <c r="G301" s="52"/>
      <c r="H301" s="51"/>
      <c r="I301" s="52"/>
    </row>
    <row r="302" spans="1:9" x14ac:dyDescent="0.25">
      <c r="A302" s="51"/>
      <c r="B302" s="52"/>
      <c r="C302" s="51"/>
      <c r="D302" s="51"/>
      <c r="E302" s="51"/>
      <c r="F302" s="52"/>
      <c r="G302" s="52"/>
      <c r="H302" s="51"/>
      <c r="I302" s="52"/>
    </row>
    <row r="303" spans="1:9" x14ac:dyDescent="0.25">
      <c r="A303" s="51"/>
      <c r="B303" s="52"/>
      <c r="C303" s="51"/>
      <c r="D303" s="51"/>
      <c r="E303" s="51"/>
      <c r="F303" s="52"/>
      <c r="G303" s="52"/>
      <c r="H303" s="51"/>
      <c r="I303" s="52"/>
    </row>
    <row r="304" spans="1:9" x14ac:dyDescent="0.25">
      <c r="A304" s="51"/>
      <c r="B304" s="52"/>
      <c r="C304" s="51"/>
      <c r="D304" s="51"/>
      <c r="E304" s="51"/>
      <c r="F304" s="52"/>
      <c r="G304" s="52"/>
      <c r="H304" s="51"/>
      <c r="I304" s="52"/>
    </row>
    <row r="305" spans="1:9" x14ac:dyDescent="0.25">
      <c r="A305" s="51"/>
      <c r="B305" s="52"/>
      <c r="C305" s="51"/>
      <c r="D305" s="51"/>
      <c r="E305" s="51"/>
      <c r="F305" s="52"/>
      <c r="G305" s="52"/>
      <c r="H305" s="51"/>
      <c r="I305" s="52"/>
    </row>
    <row r="306" spans="1:9" x14ac:dyDescent="0.25">
      <c r="A306" s="51"/>
      <c r="B306" s="52"/>
      <c r="C306" s="51"/>
      <c r="D306" s="51"/>
      <c r="E306" s="51"/>
      <c r="F306" s="52"/>
      <c r="G306" s="52"/>
      <c r="H306" s="51"/>
      <c r="I306" s="52"/>
    </row>
    <row r="307" spans="1:9" x14ac:dyDescent="0.25">
      <c r="A307" s="51"/>
      <c r="B307" s="52"/>
      <c r="C307" s="51"/>
      <c r="D307" s="51"/>
      <c r="E307" s="51"/>
      <c r="F307" s="52"/>
      <c r="G307" s="52"/>
      <c r="H307" s="51"/>
      <c r="I307" s="52"/>
    </row>
    <row r="308" spans="1:9" x14ac:dyDescent="0.25">
      <c r="A308" s="51"/>
      <c r="B308" s="52"/>
      <c r="C308" s="51"/>
      <c r="D308" s="51"/>
      <c r="E308" s="51"/>
      <c r="F308" s="52"/>
      <c r="G308" s="52"/>
      <c r="H308" s="51"/>
      <c r="I308" s="52"/>
    </row>
    <row r="309" spans="1:9" x14ac:dyDescent="0.25">
      <c r="A309" s="51"/>
      <c r="B309" s="52"/>
      <c r="C309" s="51"/>
      <c r="D309" s="51"/>
      <c r="E309" s="51"/>
      <c r="F309" s="52"/>
      <c r="G309" s="52"/>
      <c r="H309" s="51"/>
      <c r="I309" s="52"/>
    </row>
    <row r="310" spans="1:9" x14ac:dyDescent="0.25">
      <c r="A310" s="51"/>
      <c r="B310" s="52"/>
      <c r="C310" s="51"/>
      <c r="D310" s="51"/>
      <c r="E310" s="51"/>
      <c r="F310" s="52"/>
      <c r="G310" s="52"/>
      <c r="H310" s="51"/>
      <c r="I310" s="52"/>
    </row>
    <row r="311" spans="1:9" x14ac:dyDescent="0.25">
      <c r="A311" s="51"/>
      <c r="B311" s="52"/>
      <c r="C311" s="51"/>
      <c r="D311" s="51"/>
      <c r="E311" s="51"/>
      <c r="F311" s="52"/>
      <c r="G311" s="52"/>
      <c r="H311" s="51"/>
      <c r="I311" s="52"/>
    </row>
    <row r="312" spans="1:9" x14ac:dyDescent="0.25">
      <c r="A312" s="51"/>
      <c r="B312" s="52"/>
      <c r="C312" s="51"/>
      <c r="D312" s="51"/>
      <c r="E312" s="51"/>
      <c r="F312" s="52"/>
      <c r="G312" s="52"/>
      <c r="H312" s="51"/>
      <c r="I312" s="52"/>
    </row>
    <row r="313" spans="1:9" x14ac:dyDescent="0.25">
      <c r="A313" s="51"/>
      <c r="B313" s="52"/>
      <c r="C313" s="51"/>
      <c r="D313" s="51"/>
      <c r="E313" s="51"/>
      <c r="F313" s="52"/>
      <c r="G313" s="52"/>
      <c r="H313" s="51"/>
      <c r="I313" s="52"/>
    </row>
    <row r="314" spans="1:9" x14ac:dyDescent="0.25">
      <c r="A314" s="51"/>
      <c r="B314" s="52"/>
      <c r="C314" s="51"/>
      <c r="D314" s="51"/>
      <c r="E314" s="51"/>
      <c r="F314" s="52"/>
      <c r="G314" s="52"/>
      <c r="H314" s="51"/>
      <c r="I314" s="52"/>
    </row>
    <row r="315" spans="1:9" x14ac:dyDescent="0.25">
      <c r="A315" s="51"/>
      <c r="B315" s="52"/>
      <c r="C315" s="51"/>
      <c r="D315" s="51"/>
      <c r="E315" s="51"/>
      <c r="F315" s="52"/>
      <c r="G315" s="52"/>
      <c r="H315" s="51"/>
      <c r="I315" s="52"/>
    </row>
    <row r="316" spans="1:9" x14ac:dyDescent="0.25">
      <c r="A316" s="51"/>
      <c r="B316" s="52"/>
      <c r="C316" s="51"/>
      <c r="D316" s="51"/>
      <c r="E316" s="51"/>
      <c r="F316" s="52"/>
      <c r="G316" s="52"/>
      <c r="H316" s="51"/>
      <c r="I316" s="52"/>
    </row>
    <row r="317" spans="1:9" x14ac:dyDescent="0.25">
      <c r="A317" s="51"/>
      <c r="B317" s="52"/>
      <c r="C317" s="51"/>
      <c r="D317" s="51"/>
      <c r="E317" s="51"/>
      <c r="F317" s="52"/>
      <c r="G317" s="52"/>
      <c r="H317" s="51"/>
      <c r="I317" s="52"/>
    </row>
    <row r="318" spans="1:9" x14ac:dyDescent="0.25">
      <c r="A318" s="51"/>
      <c r="B318" s="52"/>
      <c r="C318" s="51"/>
      <c r="D318" s="51"/>
      <c r="E318" s="51"/>
      <c r="F318" s="52"/>
      <c r="G318" s="52"/>
      <c r="H318" s="51"/>
      <c r="I318" s="52"/>
    </row>
    <row r="319" spans="1:9" x14ac:dyDescent="0.25">
      <c r="A319" s="51"/>
      <c r="B319" s="52"/>
      <c r="C319" s="51"/>
      <c r="D319" s="51"/>
      <c r="E319" s="51"/>
      <c r="F319" s="52"/>
      <c r="G319" s="52"/>
      <c r="H319" s="51"/>
      <c r="I319" s="52"/>
    </row>
    <row r="320" spans="1:9" x14ac:dyDescent="0.25">
      <c r="A320" s="51"/>
      <c r="B320" s="52"/>
      <c r="C320" s="51"/>
      <c r="D320" s="51"/>
      <c r="E320" s="51"/>
      <c r="F320" s="52"/>
      <c r="G320" s="52"/>
      <c r="H320" s="51"/>
      <c r="I320" s="52"/>
    </row>
    <row r="321" spans="1:9" x14ac:dyDescent="0.25">
      <c r="A321" s="51"/>
      <c r="B321" s="52"/>
      <c r="C321" s="51"/>
      <c r="D321" s="51"/>
      <c r="E321" s="51"/>
      <c r="F321" s="52"/>
      <c r="G321" s="52"/>
      <c r="H321" s="51"/>
      <c r="I321" s="52"/>
    </row>
    <row r="322" spans="1:9" x14ac:dyDescent="0.25">
      <c r="A322" s="51"/>
      <c r="B322" s="52"/>
      <c r="C322" s="51"/>
      <c r="D322" s="51"/>
      <c r="E322" s="51"/>
      <c r="F322" s="52"/>
      <c r="G322" s="52"/>
      <c r="H322" s="51"/>
      <c r="I322" s="52"/>
    </row>
    <row r="323" spans="1:9" x14ac:dyDescent="0.25">
      <c r="A323" s="51"/>
      <c r="B323" s="52"/>
      <c r="C323" s="51"/>
      <c r="D323" s="51"/>
      <c r="E323" s="51"/>
      <c r="F323" s="52"/>
      <c r="G323" s="52"/>
      <c r="H323" s="51"/>
      <c r="I323" s="52"/>
    </row>
    <row r="324" spans="1:9" x14ac:dyDescent="0.25">
      <c r="A324" s="51"/>
      <c r="B324" s="52"/>
      <c r="C324" s="51"/>
      <c r="D324" s="51"/>
      <c r="E324" s="51"/>
      <c r="F324" s="52"/>
      <c r="G324" s="52"/>
      <c r="H324" s="51"/>
      <c r="I324" s="52"/>
    </row>
    <row r="325" spans="1:9" x14ac:dyDescent="0.25">
      <c r="A325" s="51"/>
      <c r="B325" s="52"/>
      <c r="C325" s="51"/>
      <c r="D325" s="51"/>
      <c r="E325" s="51"/>
      <c r="F325" s="52"/>
      <c r="G325" s="52"/>
      <c r="H325" s="51"/>
      <c r="I325" s="52"/>
    </row>
    <row r="326" spans="1:9" x14ac:dyDescent="0.25">
      <c r="A326" s="51"/>
      <c r="B326" s="52"/>
      <c r="C326" s="51"/>
      <c r="D326" s="51"/>
      <c r="E326" s="51"/>
      <c r="F326" s="52"/>
      <c r="G326" s="52"/>
      <c r="H326" s="51"/>
      <c r="I326" s="52"/>
    </row>
    <row r="327" spans="1:9" x14ac:dyDescent="0.25">
      <c r="A327" s="51"/>
      <c r="B327" s="52"/>
      <c r="C327" s="51"/>
      <c r="D327" s="51"/>
      <c r="E327" s="51"/>
      <c r="F327" s="52"/>
      <c r="G327" s="52"/>
      <c r="H327" s="51"/>
      <c r="I327" s="52"/>
    </row>
    <row r="328" spans="1:9" x14ac:dyDescent="0.25">
      <c r="A328" s="51"/>
      <c r="B328" s="52"/>
      <c r="C328" s="51"/>
      <c r="D328" s="51"/>
      <c r="E328" s="51"/>
      <c r="F328" s="52"/>
      <c r="G328" s="52"/>
      <c r="H328" s="51"/>
      <c r="I328" s="52"/>
    </row>
    <row r="329" spans="1:9" x14ac:dyDescent="0.25">
      <c r="A329" s="51"/>
      <c r="B329" s="52"/>
      <c r="C329" s="51"/>
      <c r="D329" s="51"/>
      <c r="E329" s="51"/>
      <c r="F329" s="52"/>
      <c r="G329" s="52"/>
      <c r="H329" s="51"/>
      <c r="I329" s="52"/>
    </row>
    <row r="330" spans="1:9" x14ac:dyDescent="0.25">
      <c r="A330" s="51"/>
      <c r="B330" s="52"/>
      <c r="C330" s="51"/>
      <c r="D330" s="51"/>
      <c r="E330" s="51"/>
      <c r="F330" s="52"/>
      <c r="G330" s="52"/>
      <c r="H330" s="51"/>
      <c r="I330" s="52"/>
    </row>
    <row r="331" spans="1:9" x14ac:dyDescent="0.25">
      <c r="A331" s="51"/>
      <c r="B331" s="52"/>
      <c r="C331" s="51"/>
      <c r="D331" s="51"/>
      <c r="E331" s="51"/>
      <c r="F331" s="52"/>
      <c r="G331" s="52"/>
      <c r="H331" s="51"/>
      <c r="I331" s="52"/>
    </row>
    <row r="332" spans="1:9" x14ac:dyDescent="0.25">
      <c r="A332" s="51"/>
      <c r="B332" s="52"/>
      <c r="C332" s="51"/>
      <c r="D332" s="51"/>
      <c r="E332" s="51"/>
      <c r="F332" s="52"/>
      <c r="G332" s="52"/>
      <c r="H332" s="51"/>
      <c r="I332" s="52"/>
    </row>
    <row r="333" spans="1:9" x14ac:dyDescent="0.25">
      <c r="A333" s="51"/>
      <c r="B333" s="52"/>
      <c r="C333" s="51"/>
      <c r="D333" s="51"/>
      <c r="E333" s="51"/>
      <c r="F333" s="52"/>
      <c r="G333" s="52"/>
      <c r="H333" s="51"/>
      <c r="I333" s="52"/>
    </row>
    <row r="334" spans="1:9" x14ac:dyDescent="0.25">
      <c r="A334" s="51"/>
      <c r="B334" s="52"/>
      <c r="C334" s="51"/>
      <c r="D334" s="51"/>
      <c r="E334" s="51"/>
      <c r="F334" s="52"/>
      <c r="G334" s="52"/>
      <c r="H334" s="51"/>
      <c r="I334" s="52"/>
    </row>
    <row r="335" spans="1:9" x14ac:dyDescent="0.25">
      <c r="A335" s="51"/>
      <c r="B335" s="52"/>
      <c r="C335" s="51"/>
      <c r="D335" s="51"/>
      <c r="E335" s="51"/>
      <c r="F335" s="52"/>
      <c r="G335" s="52"/>
      <c r="H335" s="51"/>
      <c r="I335" s="52"/>
    </row>
    <row r="336" spans="1:9" x14ac:dyDescent="0.25">
      <c r="A336" s="51"/>
      <c r="B336" s="52"/>
      <c r="C336" s="51"/>
      <c r="D336" s="51"/>
      <c r="E336" s="51"/>
      <c r="F336" s="52"/>
      <c r="G336" s="52"/>
      <c r="H336" s="51"/>
      <c r="I336" s="52"/>
    </row>
    <row r="337" spans="1:9" x14ac:dyDescent="0.25">
      <c r="A337" s="51"/>
      <c r="B337" s="52"/>
      <c r="C337" s="51"/>
      <c r="D337" s="51"/>
      <c r="E337" s="51"/>
      <c r="F337" s="52"/>
      <c r="G337" s="52"/>
      <c r="H337" s="51"/>
      <c r="I337" s="52"/>
    </row>
    <row r="338" spans="1:9" x14ac:dyDescent="0.25">
      <c r="A338" s="51"/>
      <c r="B338" s="52"/>
      <c r="C338" s="51"/>
      <c r="D338" s="51"/>
      <c r="E338" s="51"/>
      <c r="F338" s="52"/>
      <c r="G338" s="52"/>
      <c r="H338" s="51"/>
      <c r="I338" s="52"/>
    </row>
    <row r="339" spans="1:9" x14ac:dyDescent="0.25">
      <c r="A339" s="51"/>
      <c r="B339" s="52"/>
      <c r="C339" s="51"/>
      <c r="D339" s="51"/>
      <c r="E339" s="51"/>
      <c r="F339" s="52"/>
      <c r="G339" s="52"/>
      <c r="H339" s="51"/>
      <c r="I339" s="52"/>
    </row>
    <row r="340" spans="1:9" x14ac:dyDescent="0.25">
      <c r="A340" s="51"/>
      <c r="B340" s="52"/>
      <c r="C340" s="51"/>
      <c r="D340" s="51"/>
      <c r="E340" s="51"/>
      <c r="F340" s="52"/>
      <c r="G340" s="52"/>
      <c r="H340" s="51"/>
      <c r="I340" s="52"/>
    </row>
    <row r="341" spans="1:9" x14ac:dyDescent="0.25">
      <c r="A341" s="51"/>
      <c r="B341" s="52"/>
      <c r="C341" s="51"/>
      <c r="D341" s="51"/>
      <c r="E341" s="51"/>
      <c r="F341" s="52"/>
      <c r="G341" s="52"/>
      <c r="H341" s="51"/>
      <c r="I341" s="52"/>
    </row>
    <row r="342" spans="1:9" x14ac:dyDescent="0.25">
      <c r="A342" s="51"/>
      <c r="B342" s="52"/>
      <c r="C342" s="51"/>
      <c r="D342" s="51"/>
      <c r="E342" s="51"/>
      <c r="F342" s="52"/>
      <c r="G342" s="52"/>
      <c r="H342" s="51"/>
      <c r="I342" s="52"/>
    </row>
    <row r="343" spans="1:9" x14ac:dyDescent="0.25">
      <c r="A343" s="51"/>
      <c r="B343" s="52"/>
      <c r="C343" s="51"/>
      <c r="D343" s="51"/>
      <c r="E343" s="51"/>
      <c r="F343" s="52"/>
      <c r="G343" s="52"/>
      <c r="H343" s="51"/>
      <c r="I343" s="52"/>
    </row>
    <row r="344" spans="1:9" x14ac:dyDescent="0.25">
      <c r="A344" s="51"/>
      <c r="B344" s="52"/>
      <c r="C344" s="51"/>
      <c r="D344" s="51"/>
      <c r="E344" s="51"/>
      <c r="F344" s="52"/>
      <c r="G344" s="52"/>
      <c r="H344" s="51"/>
      <c r="I344" s="52"/>
    </row>
    <row r="345" spans="1:9" x14ac:dyDescent="0.25">
      <c r="A345" s="51"/>
      <c r="B345" s="52"/>
      <c r="C345" s="51"/>
      <c r="D345" s="51"/>
      <c r="E345" s="51"/>
      <c r="F345" s="52"/>
      <c r="G345" s="52"/>
      <c r="H345" s="51"/>
      <c r="I345" s="52"/>
    </row>
    <row r="346" spans="1:9" x14ac:dyDescent="0.25">
      <c r="A346" s="51"/>
      <c r="B346" s="52"/>
      <c r="C346" s="51"/>
      <c r="D346" s="51"/>
      <c r="E346" s="51"/>
      <c r="F346" s="52"/>
      <c r="G346" s="52"/>
      <c r="H346" s="51"/>
      <c r="I346" s="52"/>
    </row>
    <row r="347" spans="1:9" x14ac:dyDescent="0.25">
      <c r="A347" s="51"/>
      <c r="B347" s="52"/>
      <c r="C347" s="51"/>
      <c r="D347" s="51"/>
      <c r="E347" s="51"/>
      <c r="F347" s="52"/>
      <c r="G347" s="52"/>
      <c r="H347" s="51"/>
      <c r="I347" s="52"/>
    </row>
    <row r="348" spans="1:9" x14ac:dyDescent="0.25">
      <c r="A348" s="51"/>
      <c r="B348" s="52"/>
      <c r="C348" s="51"/>
      <c r="D348" s="51"/>
      <c r="E348" s="51"/>
      <c r="F348" s="52"/>
      <c r="G348" s="52"/>
      <c r="H348" s="51"/>
      <c r="I348" s="52"/>
    </row>
    <row r="349" spans="1:9" x14ac:dyDescent="0.25">
      <c r="A349" s="51"/>
      <c r="B349" s="52"/>
      <c r="C349" s="51"/>
      <c r="D349" s="51"/>
      <c r="E349" s="51"/>
      <c r="F349" s="52"/>
      <c r="G349" s="52"/>
      <c r="H349" s="51"/>
      <c r="I349" s="52"/>
    </row>
    <row r="350" spans="1:9" x14ac:dyDescent="0.25">
      <c r="A350" s="51"/>
      <c r="B350" s="52"/>
      <c r="C350" s="51"/>
      <c r="D350" s="51"/>
      <c r="E350" s="51"/>
      <c r="F350" s="52"/>
      <c r="G350" s="52"/>
      <c r="H350" s="51"/>
      <c r="I350" s="52"/>
    </row>
    <row r="351" spans="1:9" x14ac:dyDescent="0.25">
      <c r="A351" s="51"/>
      <c r="B351" s="52"/>
      <c r="C351" s="51"/>
      <c r="D351" s="51"/>
      <c r="E351" s="51"/>
      <c r="F351" s="52"/>
      <c r="G351" s="52"/>
      <c r="H351" s="51"/>
      <c r="I351" s="52"/>
    </row>
    <row r="352" spans="1:9" x14ac:dyDescent="0.25">
      <c r="A352" s="51"/>
      <c r="B352" s="52"/>
      <c r="C352" s="51"/>
      <c r="D352" s="51"/>
      <c r="E352" s="51"/>
      <c r="F352" s="52"/>
      <c r="G352" s="52"/>
      <c r="H352" s="51"/>
      <c r="I352" s="52"/>
    </row>
    <row r="353" spans="1:9" x14ac:dyDescent="0.25">
      <c r="A353" s="51"/>
      <c r="B353" s="52"/>
      <c r="C353" s="51"/>
      <c r="D353" s="51"/>
      <c r="E353" s="51"/>
      <c r="F353" s="52"/>
      <c r="G353" s="52"/>
      <c r="H353" s="51"/>
      <c r="I353" s="52"/>
    </row>
    <row r="354" spans="1:9" x14ac:dyDescent="0.25">
      <c r="A354" s="51"/>
      <c r="B354" s="52"/>
      <c r="C354" s="51"/>
      <c r="D354" s="51"/>
      <c r="E354" s="51"/>
      <c r="F354" s="52"/>
      <c r="G354" s="52"/>
      <c r="H354" s="51"/>
      <c r="I354" s="52"/>
    </row>
    <row r="355" spans="1:9" x14ac:dyDescent="0.25">
      <c r="A355" s="51"/>
      <c r="B355" s="52"/>
      <c r="C355" s="51"/>
      <c r="D355" s="51"/>
      <c r="E355" s="51"/>
      <c r="F355" s="52"/>
      <c r="G355" s="52"/>
      <c r="H355" s="51"/>
      <c r="I355" s="52"/>
    </row>
    <row r="356" spans="1:9" x14ac:dyDescent="0.25">
      <c r="A356" s="51"/>
      <c r="B356" s="52"/>
      <c r="C356" s="51"/>
      <c r="D356" s="51"/>
      <c r="E356" s="51"/>
      <c r="F356" s="52"/>
      <c r="G356" s="52"/>
      <c r="H356" s="51"/>
      <c r="I356" s="52"/>
    </row>
    <row r="357" spans="1:9" x14ac:dyDescent="0.25">
      <c r="A357" s="51"/>
      <c r="B357" s="52"/>
      <c r="C357" s="51"/>
      <c r="D357" s="51"/>
      <c r="E357" s="51"/>
      <c r="F357" s="52"/>
      <c r="G357" s="52"/>
      <c r="H357" s="51"/>
      <c r="I357" s="52"/>
    </row>
    <row r="358" spans="1:9" x14ac:dyDescent="0.25">
      <c r="A358" s="51"/>
      <c r="B358" s="52"/>
      <c r="C358" s="51"/>
      <c r="D358" s="51"/>
      <c r="E358" s="51"/>
      <c r="F358" s="52"/>
      <c r="G358" s="52"/>
      <c r="H358" s="51"/>
      <c r="I358" s="52"/>
    </row>
    <row r="359" spans="1:9" x14ac:dyDescent="0.25">
      <c r="A359" s="51"/>
      <c r="B359" s="52"/>
      <c r="C359" s="51"/>
      <c r="D359" s="51"/>
      <c r="E359" s="51"/>
      <c r="F359" s="52"/>
      <c r="G359" s="52"/>
      <c r="H359" s="51"/>
      <c r="I359" s="52"/>
    </row>
    <row r="360" spans="1:9" x14ac:dyDescent="0.25">
      <c r="A360" s="51"/>
      <c r="B360" s="52"/>
      <c r="C360" s="51"/>
      <c r="D360" s="51"/>
      <c r="E360" s="51"/>
      <c r="F360" s="52"/>
      <c r="G360" s="52"/>
      <c r="H360" s="51"/>
      <c r="I360" s="52"/>
    </row>
    <row r="361" spans="1:9" x14ac:dyDescent="0.25">
      <c r="A361" s="51"/>
      <c r="B361" s="52"/>
      <c r="C361" s="51"/>
      <c r="D361" s="51"/>
      <c r="E361" s="51"/>
      <c r="F361" s="52"/>
      <c r="G361" s="52"/>
      <c r="H361" s="51"/>
      <c r="I361" s="52"/>
    </row>
    <row r="362" spans="1:9" x14ac:dyDescent="0.25">
      <c r="A362" s="51"/>
      <c r="B362" s="52"/>
      <c r="C362" s="51"/>
      <c r="D362" s="51"/>
      <c r="E362" s="51"/>
      <c r="F362" s="52"/>
      <c r="G362" s="52"/>
      <c r="H362" s="51"/>
      <c r="I362" s="52"/>
    </row>
    <row r="363" spans="1:9" x14ac:dyDescent="0.25">
      <c r="A363" s="51"/>
      <c r="B363" s="52"/>
      <c r="C363" s="51"/>
      <c r="D363" s="51"/>
      <c r="E363" s="51"/>
      <c r="F363" s="52"/>
      <c r="G363" s="52"/>
      <c r="H363" s="51"/>
      <c r="I363" s="52"/>
    </row>
    <row r="364" spans="1:9" x14ac:dyDescent="0.25">
      <c r="A364" s="51"/>
      <c r="B364" s="52"/>
      <c r="C364" s="51"/>
      <c r="D364" s="51"/>
      <c r="E364" s="51"/>
      <c r="F364" s="52"/>
      <c r="G364" s="52"/>
      <c r="H364" s="51"/>
      <c r="I364" s="52"/>
    </row>
    <row r="365" spans="1:9" x14ac:dyDescent="0.25">
      <c r="A365" s="51"/>
      <c r="B365" s="52"/>
      <c r="C365" s="51"/>
      <c r="D365" s="51"/>
      <c r="E365" s="51"/>
      <c r="F365" s="52"/>
      <c r="G365" s="52"/>
      <c r="H365" s="51"/>
      <c r="I365" s="52"/>
    </row>
    <row r="366" spans="1:9" x14ac:dyDescent="0.25">
      <c r="A366" s="51"/>
      <c r="B366" s="52"/>
      <c r="C366" s="51"/>
      <c r="D366" s="51"/>
      <c r="E366" s="51"/>
      <c r="F366" s="52"/>
      <c r="G366" s="52"/>
      <c r="H366" s="51"/>
      <c r="I366" s="52"/>
    </row>
    <row r="367" spans="1:9" x14ac:dyDescent="0.25">
      <c r="A367" s="51"/>
      <c r="B367" s="52"/>
      <c r="C367" s="51"/>
      <c r="D367" s="51"/>
      <c r="E367" s="51"/>
      <c r="F367" s="52"/>
      <c r="G367" s="52"/>
      <c r="H367" s="51"/>
      <c r="I367" s="52"/>
    </row>
    <row r="368" spans="1:9" x14ac:dyDescent="0.25">
      <c r="A368" s="51"/>
      <c r="B368" s="52"/>
      <c r="C368" s="51"/>
      <c r="D368" s="51"/>
      <c r="E368" s="51"/>
      <c r="F368" s="52"/>
      <c r="G368" s="52"/>
      <c r="H368" s="51"/>
      <c r="I368" s="52"/>
    </row>
    <row r="369" spans="1:9" x14ac:dyDescent="0.25">
      <c r="A369" s="51"/>
      <c r="B369" s="52"/>
      <c r="C369" s="51"/>
      <c r="D369" s="51"/>
      <c r="E369" s="51"/>
      <c r="F369" s="52"/>
      <c r="G369" s="52"/>
      <c r="H369" s="51"/>
      <c r="I369" s="52"/>
    </row>
    <row r="370" spans="1:9" x14ac:dyDescent="0.25">
      <c r="A370" s="51"/>
      <c r="B370" s="52"/>
      <c r="C370" s="51"/>
      <c r="D370" s="51"/>
      <c r="E370" s="51"/>
      <c r="F370" s="52"/>
      <c r="G370" s="52"/>
      <c r="H370" s="51"/>
      <c r="I370" s="52"/>
    </row>
    <row r="371" spans="1:9" x14ac:dyDescent="0.25">
      <c r="A371" s="51"/>
      <c r="B371" s="52"/>
      <c r="C371" s="51"/>
      <c r="D371" s="51"/>
      <c r="E371" s="51"/>
      <c r="F371" s="52"/>
      <c r="G371" s="52"/>
      <c r="H371" s="51"/>
      <c r="I371" s="52"/>
    </row>
    <row r="372" spans="1:9" x14ac:dyDescent="0.25">
      <c r="A372" s="51"/>
      <c r="B372" s="52"/>
      <c r="C372" s="51"/>
      <c r="D372" s="51"/>
      <c r="E372" s="51"/>
      <c r="F372" s="52"/>
      <c r="G372" s="52"/>
      <c r="H372" s="51"/>
      <c r="I372" s="52"/>
    </row>
    <row r="373" spans="1:9" x14ac:dyDescent="0.25">
      <c r="A373" s="51"/>
      <c r="B373" s="52"/>
      <c r="C373" s="51"/>
      <c r="D373" s="51"/>
      <c r="E373" s="51"/>
      <c r="F373" s="52"/>
      <c r="G373" s="52"/>
      <c r="H373" s="51"/>
      <c r="I373" s="52"/>
    </row>
    <row r="374" spans="1:9" x14ac:dyDescent="0.25">
      <c r="A374" s="51"/>
      <c r="B374" s="52"/>
      <c r="C374" s="51"/>
      <c r="D374" s="51"/>
      <c r="E374" s="51"/>
      <c r="F374" s="52"/>
      <c r="G374" s="52"/>
      <c r="H374" s="51"/>
      <c r="I374" s="52"/>
    </row>
    <row r="375" spans="1:9" x14ac:dyDescent="0.25">
      <c r="A375" s="51"/>
      <c r="B375" s="52"/>
      <c r="C375" s="51"/>
      <c r="D375" s="51"/>
      <c r="E375" s="51"/>
      <c r="F375" s="52"/>
      <c r="G375" s="52"/>
      <c r="H375" s="51"/>
      <c r="I375" s="52"/>
    </row>
    <row r="376" spans="1:9" x14ac:dyDescent="0.25">
      <c r="A376" s="51"/>
      <c r="B376" s="52"/>
      <c r="C376" s="51"/>
      <c r="D376" s="51"/>
      <c r="E376" s="51"/>
      <c r="F376" s="52"/>
      <c r="G376" s="52"/>
      <c r="H376" s="51"/>
      <c r="I376" s="52"/>
    </row>
    <row r="377" spans="1:9" x14ac:dyDescent="0.25">
      <c r="A377" s="51"/>
      <c r="B377" s="52"/>
      <c r="C377" s="51"/>
      <c r="D377" s="51"/>
      <c r="E377" s="51"/>
      <c r="F377" s="52"/>
      <c r="G377" s="52"/>
      <c r="H377" s="51"/>
      <c r="I377" s="52"/>
    </row>
    <row r="378" spans="1:9" x14ac:dyDescent="0.25">
      <c r="A378" s="51"/>
      <c r="B378" s="52"/>
      <c r="C378" s="51"/>
      <c r="D378" s="51"/>
      <c r="E378" s="51"/>
      <c r="F378" s="52"/>
      <c r="G378" s="52"/>
      <c r="H378" s="51"/>
      <c r="I378" s="52"/>
    </row>
    <row r="379" spans="1:9" x14ac:dyDescent="0.25">
      <c r="A379" s="51"/>
      <c r="B379" s="52"/>
      <c r="C379" s="51"/>
      <c r="D379" s="51"/>
      <c r="E379" s="51"/>
      <c r="F379" s="52"/>
      <c r="G379" s="52"/>
      <c r="H379" s="51"/>
      <c r="I379" s="52"/>
    </row>
    <row r="380" spans="1:9" x14ac:dyDescent="0.25">
      <c r="A380" s="51"/>
      <c r="B380" s="52"/>
      <c r="C380" s="51"/>
      <c r="D380" s="51"/>
      <c r="E380" s="51"/>
      <c r="F380" s="52"/>
      <c r="G380" s="52"/>
      <c r="H380" s="51"/>
      <c r="I380" s="52"/>
    </row>
    <row r="381" spans="1:9" x14ac:dyDescent="0.25">
      <c r="A381" s="51"/>
      <c r="B381" s="52"/>
      <c r="C381" s="51"/>
      <c r="D381" s="51"/>
      <c r="E381" s="51"/>
      <c r="F381" s="52"/>
      <c r="G381" s="52"/>
      <c r="H381" s="51"/>
      <c r="I381" s="52"/>
    </row>
    <row r="382" spans="1:9" x14ac:dyDescent="0.25">
      <c r="A382" s="51"/>
      <c r="B382" s="52"/>
      <c r="C382" s="51"/>
      <c r="D382" s="51"/>
      <c r="E382" s="51"/>
      <c r="F382" s="52"/>
      <c r="G382" s="52"/>
      <c r="H382" s="51"/>
      <c r="I382" s="52"/>
    </row>
    <row r="383" spans="1:9" x14ac:dyDescent="0.25">
      <c r="A383" s="51"/>
      <c r="B383" s="52"/>
      <c r="C383" s="51"/>
      <c r="D383" s="51"/>
      <c r="E383" s="51"/>
      <c r="F383" s="52"/>
      <c r="G383" s="52"/>
      <c r="H383" s="51"/>
      <c r="I383" s="52"/>
    </row>
    <row r="384" spans="1:9" x14ac:dyDescent="0.25">
      <c r="A384" s="51"/>
      <c r="B384" s="52"/>
      <c r="C384" s="51"/>
      <c r="D384" s="51"/>
      <c r="E384" s="51"/>
      <c r="F384" s="52"/>
      <c r="G384" s="52"/>
      <c r="H384" s="51"/>
      <c r="I384" s="52"/>
    </row>
    <row r="385" spans="1:9" x14ac:dyDescent="0.25">
      <c r="A385" s="51"/>
      <c r="B385" s="52"/>
      <c r="C385" s="51"/>
      <c r="D385" s="51"/>
      <c r="E385" s="51"/>
      <c r="F385" s="52"/>
      <c r="G385" s="52"/>
      <c r="H385" s="51"/>
      <c r="I385" s="52"/>
    </row>
    <row r="386" spans="1:9" x14ac:dyDescent="0.25">
      <c r="A386" s="51"/>
      <c r="B386" s="52"/>
      <c r="C386" s="51"/>
      <c r="D386" s="51"/>
      <c r="E386" s="51"/>
      <c r="F386" s="52"/>
      <c r="G386" s="52"/>
      <c r="H386" s="51"/>
      <c r="I386" s="52"/>
    </row>
    <row r="387" spans="1:9" x14ac:dyDescent="0.25">
      <c r="A387" s="51"/>
      <c r="B387" s="52"/>
      <c r="C387" s="51"/>
      <c r="D387" s="51"/>
      <c r="E387" s="51"/>
      <c r="F387" s="52"/>
      <c r="G387" s="52"/>
      <c r="H387" s="51"/>
      <c r="I387" s="52"/>
    </row>
    <row r="388" spans="1:9" x14ac:dyDescent="0.25">
      <c r="A388" s="51"/>
      <c r="B388" s="52"/>
      <c r="C388" s="51"/>
      <c r="D388" s="51"/>
      <c r="E388" s="51"/>
      <c r="F388" s="52"/>
      <c r="G388" s="52"/>
      <c r="H388" s="51"/>
      <c r="I388" s="52"/>
    </row>
    <row r="389" spans="1:9" x14ac:dyDescent="0.25">
      <c r="A389" s="51"/>
      <c r="B389" s="52"/>
      <c r="C389" s="51"/>
      <c r="D389" s="51"/>
      <c r="E389" s="51"/>
      <c r="F389" s="52"/>
      <c r="G389" s="52"/>
      <c r="H389" s="51"/>
      <c r="I389" s="52"/>
    </row>
    <row r="390" spans="1:9" x14ac:dyDescent="0.25">
      <c r="A390" s="51"/>
      <c r="B390" s="52"/>
      <c r="C390" s="51"/>
      <c r="D390" s="51"/>
      <c r="E390" s="51"/>
      <c r="F390" s="52"/>
      <c r="G390" s="52"/>
      <c r="H390" s="51"/>
      <c r="I390" s="52"/>
    </row>
    <row r="391" spans="1:9" x14ac:dyDescent="0.25">
      <c r="A391" s="51"/>
      <c r="B391" s="52"/>
      <c r="C391" s="51"/>
      <c r="D391" s="51"/>
      <c r="E391" s="51"/>
      <c r="F391" s="52"/>
      <c r="G391" s="52"/>
      <c r="H391" s="51"/>
      <c r="I391" s="52"/>
    </row>
    <row r="392" spans="1:9" x14ac:dyDescent="0.25">
      <c r="A392" s="51"/>
      <c r="B392" s="52"/>
      <c r="C392" s="51"/>
      <c r="D392" s="51"/>
      <c r="E392" s="51"/>
      <c r="F392" s="52"/>
      <c r="G392" s="52"/>
      <c r="H392" s="51"/>
      <c r="I392" s="52"/>
    </row>
    <row r="393" spans="1:9" x14ac:dyDescent="0.25">
      <c r="A393" s="51"/>
      <c r="B393" s="52"/>
      <c r="C393" s="51"/>
      <c r="D393" s="51"/>
      <c r="E393" s="51"/>
      <c r="F393" s="52"/>
      <c r="G393" s="52"/>
      <c r="H393" s="51"/>
      <c r="I393" s="52"/>
    </row>
    <row r="394" spans="1:9" x14ac:dyDescent="0.25">
      <c r="A394" s="51"/>
      <c r="B394" s="52"/>
      <c r="C394" s="51"/>
      <c r="D394" s="51"/>
      <c r="E394" s="51"/>
      <c r="F394" s="52"/>
      <c r="G394" s="52"/>
      <c r="H394" s="51"/>
      <c r="I394" s="52"/>
    </row>
    <row r="395" spans="1:9" x14ac:dyDescent="0.25">
      <c r="A395" s="51"/>
      <c r="B395" s="52"/>
      <c r="C395" s="51"/>
      <c r="D395" s="51"/>
      <c r="E395" s="51"/>
      <c r="F395" s="52"/>
      <c r="G395" s="52"/>
      <c r="H395" s="51"/>
      <c r="I395" s="52"/>
    </row>
    <row r="396" spans="1:9" x14ac:dyDescent="0.25">
      <c r="A396" s="51"/>
      <c r="B396" s="52"/>
      <c r="C396" s="51"/>
      <c r="D396" s="51"/>
      <c r="E396" s="51"/>
      <c r="F396" s="52"/>
      <c r="G396" s="52"/>
      <c r="H396" s="51"/>
      <c r="I396" s="52"/>
    </row>
    <row r="397" spans="1:9" x14ac:dyDescent="0.25">
      <c r="A397" s="51"/>
      <c r="B397" s="52"/>
      <c r="C397" s="51"/>
      <c r="D397" s="51"/>
      <c r="E397" s="51"/>
      <c r="F397" s="52"/>
      <c r="G397" s="52"/>
      <c r="H397" s="51"/>
      <c r="I397" s="52"/>
    </row>
    <row r="398" spans="1:9" x14ac:dyDescent="0.25">
      <c r="A398" s="51"/>
      <c r="B398" s="52"/>
      <c r="C398" s="51"/>
      <c r="D398" s="51"/>
      <c r="E398" s="51"/>
      <c r="F398" s="52"/>
      <c r="G398" s="52"/>
      <c r="H398" s="51"/>
      <c r="I398" s="52"/>
    </row>
    <row r="399" spans="1:9" x14ac:dyDescent="0.25">
      <c r="A399" s="51"/>
      <c r="B399" s="52"/>
      <c r="C399" s="51"/>
      <c r="D399" s="51"/>
      <c r="E399" s="51"/>
      <c r="F399" s="52"/>
      <c r="G399" s="52"/>
      <c r="H399" s="51"/>
      <c r="I399" s="52"/>
    </row>
    <row r="400" spans="1:9" x14ac:dyDescent="0.25">
      <c r="A400" s="51"/>
      <c r="B400" s="52"/>
      <c r="C400" s="51"/>
      <c r="D400" s="51"/>
      <c r="E400" s="51"/>
      <c r="F400" s="52"/>
      <c r="G400" s="52"/>
      <c r="H400" s="51"/>
      <c r="I400" s="52"/>
    </row>
    <row r="401" spans="1:9" x14ac:dyDescent="0.25">
      <c r="A401" s="51"/>
      <c r="B401" s="52"/>
      <c r="C401" s="51"/>
      <c r="D401" s="51"/>
      <c r="E401" s="51"/>
      <c r="F401" s="52"/>
      <c r="G401" s="52"/>
      <c r="H401" s="51"/>
      <c r="I401" s="52"/>
    </row>
    <row r="402" spans="1:9" x14ac:dyDescent="0.25">
      <c r="A402" s="51"/>
      <c r="B402" s="52"/>
      <c r="C402" s="51"/>
      <c r="D402" s="51"/>
      <c r="E402" s="51"/>
      <c r="F402" s="52"/>
      <c r="G402" s="52"/>
      <c r="H402" s="51"/>
      <c r="I402" s="52"/>
    </row>
    <row r="403" spans="1:9" x14ac:dyDescent="0.25">
      <c r="A403" s="51"/>
      <c r="B403" s="52"/>
      <c r="C403" s="51"/>
      <c r="D403" s="51"/>
      <c r="E403" s="51"/>
      <c r="F403" s="52"/>
      <c r="G403" s="52"/>
      <c r="H403" s="51"/>
      <c r="I403" s="52"/>
    </row>
    <row r="404" spans="1:9" x14ac:dyDescent="0.25">
      <c r="A404" s="51"/>
      <c r="B404" s="52"/>
      <c r="C404" s="51"/>
      <c r="D404" s="51"/>
      <c r="E404" s="51"/>
      <c r="F404" s="52"/>
      <c r="G404" s="52"/>
      <c r="H404" s="51"/>
      <c r="I404" s="52"/>
    </row>
    <row r="405" spans="1:9" x14ac:dyDescent="0.25">
      <c r="A405" s="51"/>
      <c r="B405" s="52"/>
      <c r="C405" s="51"/>
      <c r="D405" s="51"/>
      <c r="E405" s="51"/>
      <c r="F405" s="52"/>
      <c r="G405" s="52"/>
      <c r="H405" s="51"/>
      <c r="I405" s="52"/>
    </row>
    <row r="406" spans="1:9" x14ac:dyDescent="0.25">
      <c r="A406" s="51"/>
      <c r="B406" s="52"/>
      <c r="C406" s="51"/>
      <c r="D406" s="51"/>
      <c r="E406" s="51"/>
      <c r="F406" s="52"/>
      <c r="G406" s="52"/>
      <c r="H406" s="51"/>
      <c r="I406" s="52"/>
    </row>
    <row r="407" spans="1:9" x14ac:dyDescent="0.25">
      <c r="A407" s="51"/>
      <c r="B407" s="52"/>
      <c r="C407" s="51"/>
      <c r="D407" s="51"/>
      <c r="E407" s="51"/>
      <c r="F407" s="52"/>
      <c r="G407" s="52"/>
      <c r="H407" s="51"/>
      <c r="I407" s="52"/>
    </row>
    <row r="408" spans="1:9" x14ac:dyDescent="0.25">
      <c r="A408" s="51"/>
      <c r="B408" s="52"/>
      <c r="C408" s="51"/>
      <c r="D408" s="51"/>
      <c r="E408" s="51"/>
      <c r="F408" s="52"/>
      <c r="G408" s="52"/>
      <c r="H408" s="51"/>
      <c r="I408" s="52"/>
    </row>
    <row r="409" spans="1:9" x14ac:dyDescent="0.25">
      <c r="A409" s="51"/>
      <c r="B409" s="52"/>
      <c r="C409" s="51"/>
      <c r="D409" s="51"/>
      <c r="E409" s="51"/>
      <c r="F409" s="52"/>
      <c r="G409" s="52"/>
      <c r="H409" s="51"/>
      <c r="I409" s="52"/>
    </row>
    <row r="410" spans="1:9" x14ac:dyDescent="0.25">
      <c r="A410" s="51"/>
      <c r="B410" s="52"/>
      <c r="C410" s="51"/>
      <c r="D410" s="51"/>
      <c r="E410" s="51"/>
      <c r="F410" s="52"/>
      <c r="G410" s="52"/>
      <c r="H410" s="51"/>
      <c r="I410" s="52"/>
    </row>
    <row r="411" spans="1:9" x14ac:dyDescent="0.25">
      <c r="A411" s="51"/>
      <c r="B411" s="52"/>
      <c r="C411" s="51"/>
      <c r="D411" s="51"/>
      <c r="E411" s="51"/>
      <c r="F411" s="52"/>
      <c r="G411" s="52"/>
      <c r="H411" s="51"/>
      <c r="I411" s="52"/>
    </row>
    <row r="412" spans="1:9" x14ac:dyDescent="0.25">
      <c r="A412" s="51"/>
      <c r="B412" s="52"/>
      <c r="C412" s="51"/>
      <c r="D412" s="51"/>
      <c r="E412" s="51"/>
      <c r="F412" s="52"/>
      <c r="G412" s="52"/>
      <c r="H412" s="51"/>
      <c r="I412" s="52"/>
    </row>
    <row r="413" spans="1:9" x14ac:dyDescent="0.25">
      <c r="A413" s="51"/>
      <c r="B413" s="52"/>
      <c r="C413" s="51"/>
      <c r="D413" s="51"/>
      <c r="E413" s="51"/>
      <c r="F413" s="52"/>
      <c r="G413" s="52"/>
      <c r="H413" s="51"/>
      <c r="I413" s="52"/>
    </row>
    <row r="414" spans="1:9" x14ac:dyDescent="0.25">
      <c r="A414" s="51"/>
      <c r="B414" s="52"/>
      <c r="C414" s="51"/>
      <c r="D414" s="51"/>
      <c r="E414" s="51"/>
      <c r="F414" s="52"/>
      <c r="G414" s="52"/>
      <c r="H414" s="51"/>
      <c r="I414" s="52"/>
    </row>
    <row r="415" spans="1:9" x14ac:dyDescent="0.25">
      <c r="A415" s="51"/>
      <c r="B415" s="52"/>
      <c r="C415" s="51"/>
      <c r="D415" s="51"/>
      <c r="E415" s="51"/>
      <c r="F415" s="52"/>
      <c r="G415" s="52"/>
      <c r="H415" s="51"/>
      <c r="I415" s="52"/>
    </row>
    <row r="416" spans="1:9" x14ac:dyDescent="0.25">
      <c r="A416" s="51"/>
      <c r="B416" s="52"/>
      <c r="C416" s="51"/>
      <c r="D416" s="51"/>
      <c r="E416" s="51"/>
      <c r="F416" s="52"/>
      <c r="G416" s="52"/>
      <c r="H416" s="51"/>
      <c r="I416" s="52"/>
    </row>
    <row r="417" spans="1:9" x14ac:dyDescent="0.25">
      <c r="A417" s="51"/>
      <c r="B417" s="52"/>
      <c r="C417" s="51"/>
      <c r="D417" s="51"/>
      <c r="E417" s="51"/>
      <c r="F417" s="52"/>
      <c r="G417" s="52"/>
      <c r="H417" s="51"/>
      <c r="I417" s="52"/>
    </row>
    <row r="418" spans="1:9" x14ac:dyDescent="0.25">
      <c r="A418" s="51"/>
      <c r="B418" s="52"/>
      <c r="C418" s="51"/>
      <c r="D418" s="51"/>
      <c r="E418" s="51"/>
      <c r="F418" s="52"/>
      <c r="G418" s="52"/>
      <c r="H418" s="51"/>
      <c r="I418" s="52"/>
    </row>
    <row r="419" spans="1:9" x14ac:dyDescent="0.25">
      <c r="A419" s="51"/>
      <c r="B419" s="52"/>
      <c r="C419" s="51"/>
      <c r="D419" s="51"/>
      <c r="E419" s="51"/>
      <c r="F419" s="52"/>
      <c r="G419" s="52"/>
      <c r="H419" s="51"/>
      <c r="I419" s="52"/>
    </row>
    <row r="420" spans="1:9" x14ac:dyDescent="0.25">
      <c r="A420" s="51"/>
      <c r="B420" s="52"/>
      <c r="C420" s="51"/>
      <c r="D420" s="51"/>
      <c r="E420" s="51"/>
      <c r="F420" s="52"/>
      <c r="G420" s="52"/>
      <c r="H420" s="51"/>
      <c r="I420" s="52"/>
    </row>
    <row r="421" spans="1:9" x14ac:dyDescent="0.25">
      <c r="A421" s="51"/>
      <c r="B421" s="52"/>
      <c r="C421" s="51"/>
      <c r="D421" s="51"/>
      <c r="E421" s="51"/>
      <c r="F421" s="52"/>
      <c r="G421" s="52"/>
      <c r="H421" s="51"/>
      <c r="I421" s="52"/>
    </row>
    <row r="422" spans="1:9" x14ac:dyDescent="0.25">
      <c r="A422" s="51"/>
      <c r="B422" s="52"/>
      <c r="C422" s="51"/>
      <c r="D422" s="51"/>
      <c r="E422" s="51"/>
      <c r="F422" s="52"/>
      <c r="G422" s="52"/>
      <c r="H422" s="51"/>
      <c r="I422" s="52"/>
    </row>
    <row r="423" spans="1:9" x14ac:dyDescent="0.25">
      <c r="A423" s="51"/>
      <c r="B423" s="52"/>
      <c r="C423" s="51"/>
      <c r="D423" s="51"/>
      <c r="E423" s="51"/>
      <c r="F423" s="52"/>
      <c r="G423" s="52"/>
      <c r="H423" s="51"/>
      <c r="I423" s="52"/>
    </row>
    <row r="424" spans="1:9" x14ac:dyDescent="0.25">
      <c r="A424" s="51"/>
      <c r="B424" s="52"/>
      <c r="C424" s="51"/>
      <c r="D424" s="51"/>
      <c r="E424" s="51"/>
      <c r="F424" s="52"/>
      <c r="G424" s="52"/>
      <c r="H424" s="51"/>
      <c r="I424" s="52"/>
    </row>
    <row r="425" spans="1:9" x14ac:dyDescent="0.25">
      <c r="A425" s="51"/>
      <c r="B425" s="52"/>
      <c r="C425" s="51"/>
      <c r="D425" s="51"/>
      <c r="E425" s="51"/>
      <c r="F425" s="52"/>
      <c r="G425" s="52"/>
      <c r="H425" s="51"/>
      <c r="I425" s="52"/>
    </row>
    <row r="426" spans="1:9" x14ac:dyDescent="0.25">
      <c r="A426" s="51"/>
      <c r="B426" s="52"/>
      <c r="C426" s="51"/>
      <c r="D426" s="51"/>
      <c r="E426" s="51"/>
      <c r="F426" s="52"/>
      <c r="G426" s="52"/>
      <c r="H426" s="51"/>
      <c r="I426" s="52"/>
    </row>
    <row r="427" spans="1:9" x14ac:dyDescent="0.25">
      <c r="A427" s="51"/>
      <c r="B427" s="52"/>
      <c r="C427" s="51"/>
      <c r="D427" s="51"/>
      <c r="E427" s="51"/>
      <c r="F427" s="52"/>
      <c r="G427" s="52"/>
      <c r="H427" s="51"/>
      <c r="I427" s="52"/>
    </row>
    <row r="428" spans="1:9" x14ac:dyDescent="0.25">
      <c r="A428" s="51"/>
      <c r="B428" s="52"/>
      <c r="C428" s="51"/>
      <c r="D428" s="51"/>
      <c r="E428" s="51"/>
      <c r="F428" s="52"/>
      <c r="G428" s="52"/>
      <c r="H428" s="51"/>
      <c r="I428" s="52"/>
    </row>
    <row r="429" spans="1:9" x14ac:dyDescent="0.25">
      <c r="A429" s="51"/>
      <c r="B429" s="52"/>
      <c r="C429" s="51"/>
      <c r="D429" s="51"/>
      <c r="E429" s="51"/>
      <c r="F429" s="52"/>
      <c r="G429" s="52"/>
      <c r="H429" s="51"/>
      <c r="I429" s="52"/>
    </row>
    <row r="430" spans="1:9" x14ac:dyDescent="0.25">
      <c r="A430" s="51"/>
      <c r="B430" s="52"/>
      <c r="C430" s="51"/>
      <c r="D430" s="51"/>
      <c r="E430" s="51"/>
      <c r="F430" s="52"/>
      <c r="G430" s="52"/>
      <c r="H430" s="51"/>
      <c r="I430" s="52"/>
    </row>
    <row r="431" spans="1:9" x14ac:dyDescent="0.25">
      <c r="A431" s="51"/>
      <c r="B431" s="52"/>
      <c r="C431" s="51"/>
      <c r="D431" s="51"/>
      <c r="E431" s="51"/>
      <c r="F431" s="52"/>
      <c r="G431" s="52"/>
      <c r="H431" s="51"/>
      <c r="I431" s="52"/>
    </row>
    <row r="432" spans="1:9" x14ac:dyDescent="0.25">
      <c r="A432" s="51"/>
      <c r="B432" s="52"/>
      <c r="C432" s="51"/>
      <c r="D432" s="51"/>
      <c r="E432" s="51"/>
      <c r="F432" s="52"/>
      <c r="G432" s="52"/>
      <c r="H432" s="51"/>
      <c r="I432" s="52"/>
    </row>
    <row r="433" spans="1:9" x14ac:dyDescent="0.25">
      <c r="A433" s="51"/>
      <c r="B433" s="52"/>
      <c r="C433" s="51"/>
      <c r="D433" s="51"/>
      <c r="E433" s="51"/>
      <c r="F433" s="52"/>
      <c r="G433" s="52"/>
      <c r="H433" s="51"/>
      <c r="I433" s="52"/>
    </row>
    <row r="434" spans="1:9" x14ac:dyDescent="0.25">
      <c r="A434" s="51"/>
      <c r="B434" s="52"/>
      <c r="C434" s="51"/>
      <c r="D434" s="51"/>
      <c r="E434" s="51"/>
      <c r="F434" s="52"/>
      <c r="G434" s="52"/>
      <c r="H434" s="51"/>
      <c r="I434" s="52"/>
    </row>
    <row r="435" spans="1:9" x14ac:dyDescent="0.25">
      <c r="A435" s="51"/>
      <c r="B435" s="52"/>
      <c r="C435" s="51"/>
      <c r="D435" s="51"/>
      <c r="E435" s="51"/>
      <c r="F435" s="52"/>
      <c r="G435" s="52"/>
      <c r="H435" s="51"/>
      <c r="I435" s="52"/>
    </row>
    <row r="436" spans="1:9" x14ac:dyDescent="0.25">
      <c r="A436" s="51"/>
      <c r="B436" s="52"/>
      <c r="C436" s="51"/>
      <c r="D436" s="51"/>
      <c r="E436" s="51"/>
      <c r="F436" s="52"/>
      <c r="G436" s="52"/>
      <c r="H436" s="51"/>
      <c r="I436" s="52"/>
    </row>
    <row r="437" spans="1:9" x14ac:dyDescent="0.25">
      <c r="A437" s="51"/>
      <c r="B437" s="52"/>
      <c r="C437" s="51"/>
      <c r="D437" s="51"/>
      <c r="E437" s="51"/>
      <c r="F437" s="52"/>
      <c r="G437" s="52"/>
      <c r="H437" s="51"/>
      <c r="I437" s="52"/>
    </row>
    <row r="438" spans="1:9" x14ac:dyDescent="0.25">
      <c r="A438" s="51"/>
      <c r="B438" s="52"/>
      <c r="C438" s="51"/>
      <c r="D438" s="51"/>
      <c r="E438" s="51"/>
      <c r="F438" s="52"/>
      <c r="G438" s="52"/>
      <c r="H438" s="51"/>
      <c r="I438" s="52"/>
    </row>
    <row r="439" spans="1:9" x14ac:dyDescent="0.25">
      <c r="A439" s="51"/>
      <c r="B439" s="52"/>
      <c r="C439" s="51"/>
      <c r="D439" s="51"/>
      <c r="E439" s="51"/>
      <c r="F439" s="52"/>
      <c r="G439" s="52"/>
      <c r="H439" s="51"/>
      <c r="I439" s="52"/>
    </row>
    <row r="440" spans="1:9" x14ac:dyDescent="0.25">
      <c r="A440" s="51"/>
      <c r="B440" s="52"/>
      <c r="C440" s="51"/>
      <c r="D440" s="51"/>
      <c r="E440" s="51"/>
      <c r="F440" s="52"/>
      <c r="G440" s="52"/>
      <c r="H440" s="51"/>
      <c r="I440" s="52"/>
    </row>
    <row r="441" spans="1:9" x14ac:dyDescent="0.25">
      <c r="A441" s="51"/>
      <c r="B441" s="52"/>
      <c r="C441" s="51"/>
      <c r="D441" s="51"/>
      <c r="E441" s="51"/>
      <c r="F441" s="52"/>
      <c r="G441" s="52"/>
      <c r="H441" s="51"/>
      <c r="I441" s="52"/>
    </row>
    <row r="442" spans="1:9" x14ac:dyDescent="0.25">
      <c r="A442" s="51"/>
      <c r="B442" s="52"/>
      <c r="C442" s="51"/>
      <c r="D442" s="51"/>
      <c r="E442" s="51"/>
      <c r="F442" s="52"/>
      <c r="G442" s="52"/>
      <c r="H442" s="51"/>
      <c r="I442" s="52"/>
    </row>
    <row r="443" spans="1:9" x14ac:dyDescent="0.25">
      <c r="A443" s="51"/>
      <c r="B443" s="52"/>
      <c r="C443" s="51"/>
      <c r="D443" s="51"/>
      <c r="E443" s="51"/>
      <c r="F443" s="52"/>
      <c r="G443" s="52"/>
      <c r="H443" s="51"/>
      <c r="I443" s="52"/>
    </row>
    <row r="444" spans="1:9" x14ac:dyDescent="0.25">
      <c r="A444" s="51"/>
      <c r="B444" s="52"/>
      <c r="C444" s="51"/>
      <c r="D444" s="51"/>
      <c r="E444" s="51"/>
      <c r="F444" s="52"/>
      <c r="G444" s="52"/>
      <c r="H444" s="51"/>
      <c r="I444" s="52"/>
    </row>
    <row r="445" spans="1:9" x14ac:dyDescent="0.25">
      <c r="A445" s="51"/>
      <c r="B445" s="52"/>
      <c r="C445" s="51"/>
      <c r="D445" s="51"/>
      <c r="E445" s="51"/>
      <c r="F445" s="52"/>
      <c r="G445" s="52"/>
      <c r="H445" s="51"/>
      <c r="I445" s="52"/>
    </row>
    <row r="446" spans="1:9" x14ac:dyDescent="0.25">
      <c r="A446" s="51"/>
      <c r="B446" s="52"/>
      <c r="C446" s="51"/>
      <c r="D446" s="51"/>
      <c r="E446" s="51"/>
      <c r="F446" s="52"/>
      <c r="G446" s="52"/>
      <c r="H446" s="51"/>
      <c r="I446" s="52"/>
    </row>
    <row r="447" spans="1:9" x14ac:dyDescent="0.25">
      <c r="A447" s="51"/>
      <c r="B447" s="52"/>
      <c r="C447" s="51"/>
      <c r="D447" s="51"/>
      <c r="E447" s="51"/>
      <c r="F447" s="52"/>
      <c r="G447" s="52"/>
      <c r="H447" s="51"/>
      <c r="I447" s="52"/>
    </row>
    <row r="448" spans="1:9" x14ac:dyDescent="0.25">
      <c r="A448" s="51"/>
      <c r="B448" s="52"/>
      <c r="C448" s="51"/>
      <c r="D448" s="51"/>
      <c r="E448" s="51"/>
      <c r="F448" s="52"/>
      <c r="G448" s="52"/>
      <c r="H448" s="51"/>
      <c r="I448" s="52"/>
    </row>
    <row r="449" spans="1:9" x14ac:dyDescent="0.25">
      <c r="A449" s="51"/>
      <c r="B449" s="52"/>
      <c r="C449" s="51"/>
      <c r="D449" s="51"/>
      <c r="E449" s="51"/>
      <c r="F449" s="52"/>
      <c r="G449" s="52"/>
      <c r="H449" s="51"/>
      <c r="I449" s="52"/>
    </row>
    <row r="450" spans="1:9" x14ac:dyDescent="0.25">
      <c r="A450" s="51"/>
      <c r="B450" s="52"/>
      <c r="C450" s="51"/>
      <c r="D450" s="51"/>
      <c r="E450" s="51"/>
      <c r="F450" s="52"/>
      <c r="G450" s="52"/>
      <c r="H450" s="51"/>
      <c r="I450" s="52"/>
    </row>
    <row r="451" spans="1:9" x14ac:dyDescent="0.25">
      <c r="A451" s="51"/>
      <c r="B451" s="52"/>
      <c r="C451" s="51"/>
      <c r="D451" s="51"/>
      <c r="E451" s="51"/>
      <c r="F451" s="52"/>
      <c r="G451" s="52"/>
      <c r="H451" s="51"/>
      <c r="I451" s="52"/>
    </row>
    <row r="452" spans="1:9" x14ac:dyDescent="0.25">
      <c r="A452" s="51"/>
      <c r="B452" s="52"/>
      <c r="C452" s="51"/>
      <c r="D452" s="51"/>
      <c r="E452" s="51"/>
      <c r="F452" s="52"/>
      <c r="G452" s="52"/>
      <c r="H452" s="51"/>
      <c r="I452" s="52"/>
    </row>
    <row r="453" spans="1:9" x14ac:dyDescent="0.25">
      <c r="A453" s="51"/>
      <c r="B453" s="52"/>
      <c r="C453" s="51"/>
      <c r="D453" s="51"/>
      <c r="E453" s="51"/>
      <c r="F453" s="52"/>
      <c r="G453" s="52"/>
      <c r="H453" s="51"/>
      <c r="I453" s="52"/>
    </row>
    <row r="454" spans="1:9" x14ac:dyDescent="0.25">
      <c r="A454" s="51"/>
      <c r="B454" s="52"/>
      <c r="C454" s="51"/>
      <c r="D454" s="51"/>
      <c r="E454" s="51"/>
      <c r="F454" s="52"/>
      <c r="G454" s="52"/>
      <c r="H454" s="51"/>
      <c r="I454" s="52"/>
    </row>
    <row r="455" spans="1:9" x14ac:dyDescent="0.25">
      <c r="A455" s="51"/>
      <c r="B455" s="52"/>
      <c r="C455" s="51"/>
      <c r="D455" s="51"/>
      <c r="E455" s="51"/>
      <c r="F455" s="52"/>
      <c r="G455" s="52"/>
      <c r="H455" s="51"/>
      <c r="I455" s="52"/>
    </row>
    <row r="456" spans="1:9" x14ac:dyDescent="0.25">
      <c r="A456" s="51"/>
      <c r="B456" s="52"/>
      <c r="C456" s="51"/>
      <c r="D456" s="51"/>
      <c r="E456" s="51"/>
      <c r="F456" s="52"/>
      <c r="G456" s="52"/>
      <c r="H456" s="51"/>
      <c r="I456" s="52"/>
    </row>
    <row r="457" spans="1:9" x14ac:dyDescent="0.25">
      <c r="A457" s="51"/>
      <c r="B457" s="52"/>
      <c r="C457" s="51"/>
      <c r="D457" s="51"/>
      <c r="E457" s="51"/>
      <c r="F457" s="52"/>
      <c r="G457" s="52"/>
      <c r="H457" s="51"/>
      <c r="I457" s="52"/>
    </row>
    <row r="458" spans="1:9" x14ac:dyDescent="0.25">
      <c r="A458" s="51"/>
      <c r="B458" s="52"/>
      <c r="C458" s="51"/>
      <c r="D458" s="51"/>
      <c r="E458" s="51"/>
      <c r="F458" s="52"/>
      <c r="G458" s="52"/>
      <c r="H458" s="51"/>
      <c r="I458" s="52"/>
    </row>
    <row r="459" spans="1:9" x14ac:dyDescent="0.25">
      <c r="A459" s="51"/>
      <c r="B459" s="52"/>
      <c r="C459" s="51"/>
      <c r="D459" s="51"/>
      <c r="E459" s="51"/>
      <c r="F459" s="52"/>
      <c r="G459" s="52"/>
      <c r="H459" s="51"/>
      <c r="I459" s="52"/>
    </row>
    <row r="460" spans="1:9" x14ac:dyDescent="0.25">
      <c r="A460" s="51"/>
      <c r="B460" s="52"/>
      <c r="C460" s="51"/>
      <c r="D460" s="51"/>
      <c r="E460" s="51"/>
      <c r="F460" s="52"/>
      <c r="G460" s="52"/>
      <c r="H460" s="51"/>
      <c r="I460" s="52"/>
    </row>
    <row r="461" spans="1:9" x14ac:dyDescent="0.25">
      <c r="A461" s="51"/>
      <c r="B461" s="52"/>
      <c r="C461" s="51"/>
      <c r="D461" s="51"/>
      <c r="E461" s="51"/>
      <c r="F461" s="52"/>
      <c r="G461" s="52"/>
      <c r="H461" s="51"/>
      <c r="I461" s="52"/>
    </row>
    <row r="462" spans="1:9" x14ac:dyDescent="0.25">
      <c r="A462" s="51"/>
      <c r="B462" s="52"/>
      <c r="C462" s="51"/>
      <c r="D462" s="51"/>
      <c r="E462" s="51"/>
      <c r="F462" s="52"/>
      <c r="G462" s="52"/>
      <c r="H462" s="51"/>
      <c r="I462" s="52"/>
    </row>
    <row r="463" spans="1:9" x14ac:dyDescent="0.25">
      <c r="A463" s="51"/>
      <c r="B463" s="52"/>
      <c r="C463" s="51"/>
      <c r="D463" s="51"/>
      <c r="E463" s="51"/>
      <c r="F463" s="52"/>
      <c r="G463" s="52"/>
      <c r="H463" s="51"/>
      <c r="I463" s="52"/>
    </row>
    <row r="464" spans="1:9" x14ac:dyDescent="0.25">
      <c r="A464" s="51"/>
      <c r="B464" s="52"/>
      <c r="C464" s="51"/>
      <c r="D464" s="51"/>
      <c r="E464" s="51"/>
      <c r="F464" s="52"/>
      <c r="G464" s="52"/>
      <c r="H464" s="51"/>
      <c r="I464" s="52"/>
    </row>
    <row r="465" spans="1:9" x14ac:dyDescent="0.25">
      <c r="A465" s="51"/>
      <c r="B465" s="52"/>
      <c r="C465" s="51"/>
      <c r="D465" s="51"/>
      <c r="E465" s="51"/>
      <c r="F465" s="52"/>
      <c r="G465" s="52"/>
      <c r="H465" s="51"/>
      <c r="I465" s="52"/>
    </row>
    <row r="466" spans="1:9" x14ac:dyDescent="0.25">
      <c r="A466" s="51"/>
      <c r="B466" s="52"/>
      <c r="C466" s="51"/>
      <c r="D466" s="51"/>
      <c r="E466" s="51"/>
      <c r="F466" s="52"/>
      <c r="G466" s="52"/>
      <c r="H466" s="51"/>
      <c r="I466" s="52"/>
    </row>
    <row r="467" spans="1:9" x14ac:dyDescent="0.25">
      <c r="A467" s="51"/>
      <c r="B467" s="52"/>
      <c r="C467" s="51"/>
      <c r="D467" s="51"/>
      <c r="E467" s="51"/>
      <c r="F467" s="52"/>
      <c r="G467" s="52"/>
      <c r="H467" s="51"/>
      <c r="I467" s="52"/>
    </row>
    <row r="468" spans="1:9" x14ac:dyDescent="0.25">
      <c r="A468" s="51"/>
      <c r="B468" s="52"/>
      <c r="C468" s="51"/>
      <c r="D468" s="51"/>
      <c r="E468" s="51"/>
      <c r="F468" s="52"/>
      <c r="G468" s="52"/>
      <c r="H468" s="51"/>
      <c r="I468" s="52"/>
    </row>
    <row r="469" spans="1:9" x14ac:dyDescent="0.25">
      <c r="A469" s="51"/>
      <c r="B469" s="52"/>
      <c r="C469" s="51"/>
      <c r="D469" s="51"/>
      <c r="E469" s="51"/>
      <c r="F469" s="52"/>
      <c r="G469" s="52"/>
      <c r="H469" s="51"/>
      <c r="I469" s="52"/>
    </row>
    <row r="470" spans="1:9" x14ac:dyDescent="0.25">
      <c r="A470" s="51"/>
      <c r="B470" s="52"/>
      <c r="C470" s="51"/>
      <c r="D470" s="51"/>
      <c r="E470" s="51"/>
      <c r="F470" s="52"/>
      <c r="G470" s="52"/>
      <c r="H470" s="51"/>
      <c r="I470" s="52"/>
    </row>
    <row r="471" spans="1:9" x14ac:dyDescent="0.25">
      <c r="A471" s="51"/>
      <c r="B471" s="52"/>
      <c r="C471" s="51"/>
      <c r="D471" s="51"/>
      <c r="E471" s="51"/>
      <c r="F471" s="52"/>
      <c r="G471" s="52"/>
      <c r="H471" s="51"/>
      <c r="I471" s="52"/>
    </row>
    <row r="472" spans="1:9" x14ac:dyDescent="0.25">
      <c r="A472" s="51"/>
      <c r="B472" s="52"/>
      <c r="C472" s="51"/>
      <c r="D472" s="51"/>
      <c r="E472" s="51"/>
      <c r="F472" s="52"/>
      <c r="G472" s="52"/>
      <c r="H472" s="51"/>
      <c r="I472" s="52"/>
    </row>
    <row r="473" spans="1:9" x14ac:dyDescent="0.25">
      <c r="A473" s="51"/>
      <c r="B473" s="52"/>
      <c r="C473" s="51"/>
      <c r="D473" s="51"/>
      <c r="E473" s="51"/>
      <c r="F473" s="52"/>
      <c r="G473" s="52"/>
      <c r="H473" s="51"/>
      <c r="I473" s="52"/>
    </row>
    <row r="474" spans="1:9" x14ac:dyDescent="0.25">
      <c r="A474" s="51"/>
      <c r="B474" s="52"/>
      <c r="C474" s="51"/>
      <c r="D474" s="51"/>
      <c r="E474" s="51"/>
      <c r="F474" s="52"/>
      <c r="G474" s="52"/>
      <c r="H474" s="51"/>
      <c r="I474" s="52"/>
    </row>
    <row r="475" spans="1:9" x14ac:dyDescent="0.25">
      <c r="A475" s="51"/>
      <c r="B475" s="52"/>
      <c r="C475" s="51"/>
      <c r="D475" s="51"/>
      <c r="E475" s="51"/>
      <c r="F475" s="52"/>
      <c r="G475" s="52"/>
      <c r="H475" s="51"/>
      <c r="I475" s="52"/>
    </row>
    <row r="476" spans="1:9" x14ac:dyDescent="0.25">
      <c r="A476" s="51"/>
      <c r="B476" s="52"/>
      <c r="C476" s="51"/>
      <c r="D476" s="51"/>
      <c r="E476" s="51"/>
      <c r="F476" s="52"/>
      <c r="G476" s="52"/>
      <c r="H476" s="51"/>
      <c r="I476" s="52"/>
    </row>
    <row r="477" spans="1:9" x14ac:dyDescent="0.25">
      <c r="A477" s="51"/>
      <c r="B477" s="52"/>
      <c r="C477" s="51"/>
      <c r="D477" s="51"/>
      <c r="E477" s="51"/>
      <c r="F477" s="52"/>
      <c r="G477" s="52"/>
      <c r="H477" s="51"/>
      <c r="I477" s="52"/>
    </row>
    <row r="478" spans="1:9" x14ac:dyDescent="0.25">
      <c r="A478" s="51"/>
      <c r="B478" s="52"/>
      <c r="C478" s="51"/>
      <c r="D478" s="51"/>
      <c r="E478" s="51"/>
      <c r="F478" s="52"/>
      <c r="G478" s="52"/>
      <c r="H478" s="51"/>
      <c r="I478" s="52"/>
    </row>
    <row r="479" spans="1:9" x14ac:dyDescent="0.25">
      <c r="A479" s="51"/>
      <c r="B479" s="52"/>
      <c r="C479" s="51"/>
      <c r="D479" s="51"/>
      <c r="E479" s="51"/>
      <c r="F479" s="52"/>
      <c r="G479" s="52"/>
      <c r="H479" s="51"/>
      <c r="I479" s="52"/>
    </row>
    <row r="480" spans="1:9" x14ac:dyDescent="0.25">
      <c r="A480" s="51"/>
      <c r="B480" s="52"/>
      <c r="C480" s="51"/>
      <c r="D480" s="51"/>
      <c r="E480" s="51"/>
      <c r="F480" s="52"/>
      <c r="G480" s="52"/>
      <c r="H480" s="51"/>
      <c r="I480" s="52"/>
    </row>
    <row r="481" spans="1:9" x14ac:dyDescent="0.25">
      <c r="A481" s="51"/>
      <c r="B481" s="52"/>
      <c r="C481" s="51"/>
      <c r="D481" s="51"/>
      <c r="E481" s="51"/>
      <c r="F481" s="52"/>
      <c r="G481" s="52"/>
      <c r="H481" s="51"/>
      <c r="I481" s="52"/>
    </row>
    <row r="482" spans="1:9" x14ac:dyDescent="0.25">
      <c r="A482" s="51"/>
      <c r="B482" s="52"/>
      <c r="C482" s="51"/>
      <c r="D482" s="51"/>
      <c r="E482" s="51"/>
      <c r="F482" s="52"/>
      <c r="G482" s="52"/>
      <c r="H482" s="51"/>
      <c r="I482" s="52"/>
    </row>
    <row r="483" spans="1:9" x14ac:dyDescent="0.25">
      <c r="A483" s="51"/>
      <c r="B483" s="52"/>
      <c r="C483" s="51"/>
      <c r="D483" s="51"/>
      <c r="E483" s="51"/>
      <c r="F483" s="52"/>
      <c r="G483" s="52"/>
      <c r="H483" s="51"/>
      <c r="I483" s="52"/>
    </row>
    <row r="484" spans="1:9" x14ac:dyDescent="0.25">
      <c r="A484" s="51"/>
      <c r="B484" s="52"/>
      <c r="C484" s="51"/>
      <c r="D484" s="51"/>
      <c r="E484" s="51"/>
      <c r="F484" s="52"/>
      <c r="G484" s="52"/>
      <c r="H484" s="51"/>
      <c r="I484" s="52"/>
    </row>
    <row r="485" spans="1:9" x14ac:dyDescent="0.25">
      <c r="A485" s="51"/>
      <c r="B485" s="52"/>
      <c r="C485" s="51"/>
      <c r="D485" s="51"/>
      <c r="E485" s="51"/>
      <c r="F485" s="52"/>
      <c r="G485" s="52"/>
      <c r="H485" s="51"/>
      <c r="I485" s="52"/>
    </row>
    <row r="486" spans="1:9" x14ac:dyDescent="0.25">
      <c r="A486" s="51"/>
      <c r="B486" s="52"/>
      <c r="C486" s="51"/>
      <c r="D486" s="51"/>
      <c r="E486" s="51"/>
      <c r="F486" s="52"/>
      <c r="G486" s="52"/>
      <c r="H486" s="51"/>
      <c r="I486" s="52"/>
    </row>
    <row r="487" spans="1:9" x14ac:dyDescent="0.25">
      <c r="A487" s="51"/>
      <c r="B487" s="52"/>
      <c r="C487" s="51"/>
      <c r="D487" s="51"/>
      <c r="E487" s="51"/>
      <c r="F487" s="52"/>
      <c r="G487" s="52"/>
      <c r="H487" s="51"/>
      <c r="I487" s="52"/>
    </row>
    <row r="488" spans="1:9" x14ac:dyDescent="0.25">
      <c r="A488" s="51"/>
      <c r="B488" s="52"/>
      <c r="C488" s="51"/>
      <c r="D488" s="51"/>
      <c r="E488" s="51"/>
      <c r="F488" s="52"/>
      <c r="G488" s="52"/>
      <c r="H488" s="51"/>
      <c r="I488" s="52"/>
    </row>
    <row r="489" spans="1:9" x14ac:dyDescent="0.25">
      <c r="A489" s="51"/>
      <c r="B489" s="52"/>
      <c r="C489" s="51"/>
      <c r="D489" s="51"/>
      <c r="E489" s="51"/>
      <c r="F489" s="52"/>
      <c r="G489" s="52"/>
      <c r="H489" s="51"/>
      <c r="I489" s="52"/>
    </row>
    <row r="490" spans="1:9" x14ac:dyDescent="0.25">
      <c r="A490" s="51"/>
      <c r="B490" s="52"/>
      <c r="C490" s="51"/>
      <c r="D490" s="51"/>
      <c r="E490" s="51"/>
      <c r="F490" s="52"/>
      <c r="G490" s="52"/>
      <c r="H490" s="51"/>
      <c r="I490" s="52"/>
    </row>
    <row r="491" spans="1:9" x14ac:dyDescent="0.25">
      <c r="A491" s="51"/>
      <c r="B491" s="52"/>
      <c r="C491" s="51"/>
      <c r="D491" s="51"/>
      <c r="E491" s="51"/>
      <c r="F491" s="52"/>
      <c r="G491" s="52"/>
      <c r="H491" s="51"/>
      <c r="I491" s="52"/>
    </row>
    <row r="492" spans="1:9" x14ac:dyDescent="0.25">
      <c r="A492" s="51"/>
      <c r="B492" s="52"/>
      <c r="C492" s="51"/>
      <c r="D492" s="51"/>
      <c r="E492" s="51"/>
      <c r="F492" s="52"/>
      <c r="G492" s="52"/>
      <c r="H492" s="51"/>
      <c r="I492" s="52"/>
    </row>
    <row r="493" spans="1:9" x14ac:dyDescent="0.25">
      <c r="A493" s="51"/>
      <c r="B493" s="52"/>
      <c r="C493" s="51"/>
      <c r="D493" s="51"/>
      <c r="E493" s="51"/>
      <c r="F493" s="52"/>
      <c r="G493" s="52"/>
      <c r="H493" s="51"/>
      <c r="I493" s="52"/>
    </row>
    <row r="494" spans="1:9" x14ac:dyDescent="0.25">
      <c r="A494" s="51"/>
      <c r="B494" s="52"/>
      <c r="C494" s="51"/>
      <c r="D494" s="51"/>
      <c r="E494" s="51"/>
      <c r="F494" s="52"/>
      <c r="G494" s="52"/>
      <c r="H494" s="51"/>
      <c r="I494" s="52"/>
    </row>
    <row r="495" spans="1:9" x14ac:dyDescent="0.25">
      <c r="A495" s="51"/>
      <c r="B495" s="52"/>
      <c r="C495" s="51"/>
      <c r="D495" s="51"/>
      <c r="E495" s="51"/>
      <c r="F495" s="52"/>
      <c r="G495" s="52"/>
      <c r="H495" s="51"/>
      <c r="I495" s="52"/>
    </row>
    <row r="496" spans="1:9" x14ac:dyDescent="0.25">
      <c r="A496" s="51"/>
      <c r="B496" s="52"/>
      <c r="C496" s="51"/>
      <c r="D496" s="51"/>
      <c r="E496" s="51"/>
      <c r="F496" s="52"/>
      <c r="G496" s="52"/>
      <c r="H496" s="51"/>
      <c r="I496" s="52"/>
    </row>
    <row r="497" spans="1:9" x14ac:dyDescent="0.25">
      <c r="A497" s="51"/>
      <c r="B497" s="52"/>
      <c r="C497" s="51"/>
      <c r="D497" s="51"/>
      <c r="E497" s="51"/>
      <c r="F497" s="52"/>
      <c r="G497" s="52"/>
      <c r="H497" s="51"/>
      <c r="I497" s="52"/>
    </row>
    <row r="498" spans="1:9" x14ac:dyDescent="0.25">
      <c r="A498" s="51"/>
      <c r="B498" s="52"/>
      <c r="C498" s="51"/>
      <c r="D498" s="51"/>
      <c r="E498" s="51"/>
      <c r="F498" s="52"/>
      <c r="G498" s="52"/>
      <c r="H498" s="51"/>
      <c r="I498" s="52"/>
    </row>
    <row r="499" spans="1:9" x14ac:dyDescent="0.25">
      <c r="A499" s="51"/>
      <c r="B499" s="52"/>
      <c r="C499" s="51"/>
      <c r="D499" s="51"/>
      <c r="E499" s="51"/>
      <c r="F499" s="52"/>
      <c r="G499" s="52"/>
      <c r="H499" s="51"/>
      <c r="I499" s="52"/>
    </row>
    <row r="500" spans="1:9" x14ac:dyDescent="0.25">
      <c r="A500" s="51"/>
      <c r="B500" s="52"/>
      <c r="C500" s="51"/>
      <c r="D500" s="51"/>
      <c r="E500" s="51"/>
      <c r="F500" s="52"/>
      <c r="G500" s="52"/>
      <c r="H500" s="51"/>
      <c r="I500" s="52"/>
    </row>
    <row r="501" spans="1:9" x14ac:dyDescent="0.25">
      <c r="A501" s="51"/>
      <c r="B501" s="52"/>
      <c r="C501" s="51"/>
      <c r="D501" s="51"/>
      <c r="E501" s="51"/>
      <c r="F501" s="52"/>
      <c r="G501" s="52"/>
      <c r="H501" s="51"/>
      <c r="I501" s="52"/>
    </row>
    <row r="502" spans="1:9" x14ac:dyDescent="0.25">
      <c r="A502" s="51"/>
      <c r="B502" s="52"/>
      <c r="C502" s="51"/>
      <c r="D502" s="51"/>
      <c r="E502" s="51"/>
      <c r="F502" s="52"/>
      <c r="G502" s="52"/>
      <c r="H502" s="51"/>
      <c r="I502" s="52"/>
    </row>
    <row r="503" spans="1:9" x14ac:dyDescent="0.25">
      <c r="A503" s="51"/>
      <c r="B503" s="52"/>
      <c r="C503" s="51"/>
      <c r="D503" s="51"/>
      <c r="E503" s="51"/>
      <c r="F503" s="52"/>
      <c r="G503" s="52"/>
      <c r="H503" s="51"/>
      <c r="I503" s="52"/>
    </row>
    <row r="504" spans="1:9" x14ac:dyDescent="0.25">
      <c r="A504" s="51"/>
      <c r="B504" s="52"/>
      <c r="C504" s="51"/>
      <c r="D504" s="51"/>
      <c r="E504" s="51"/>
      <c r="F504" s="52"/>
      <c r="G504" s="52"/>
      <c r="H504" s="51"/>
      <c r="I504" s="52"/>
    </row>
    <row r="505" spans="1:9" x14ac:dyDescent="0.25">
      <c r="A505" s="51"/>
      <c r="B505" s="52"/>
      <c r="C505" s="51"/>
      <c r="D505" s="51"/>
      <c r="E505" s="51"/>
      <c r="F505" s="52"/>
      <c r="G505" s="52"/>
      <c r="H505" s="51"/>
      <c r="I505" s="52"/>
    </row>
    <row r="506" spans="1:9" x14ac:dyDescent="0.25">
      <c r="A506" s="51"/>
      <c r="B506" s="52"/>
      <c r="C506" s="51"/>
      <c r="D506" s="51"/>
      <c r="E506" s="51"/>
      <c r="F506" s="52"/>
      <c r="G506" s="52"/>
      <c r="H506" s="51"/>
      <c r="I506" s="52"/>
    </row>
    <row r="507" spans="1:9" x14ac:dyDescent="0.25">
      <c r="A507" s="51"/>
      <c r="B507" s="52"/>
      <c r="C507" s="51"/>
      <c r="D507" s="51"/>
      <c r="E507" s="51"/>
      <c r="F507" s="52"/>
      <c r="G507" s="52"/>
      <c r="H507" s="51"/>
      <c r="I507" s="52"/>
    </row>
    <row r="508" spans="1:9" x14ac:dyDescent="0.25">
      <c r="A508" s="51"/>
      <c r="B508" s="52"/>
      <c r="C508" s="51"/>
      <c r="D508" s="51"/>
      <c r="E508" s="51"/>
      <c r="F508" s="52"/>
      <c r="G508" s="52"/>
      <c r="H508" s="51"/>
      <c r="I508" s="52"/>
    </row>
    <row r="509" spans="1:9" x14ac:dyDescent="0.25">
      <c r="A509" s="51"/>
      <c r="B509" s="52"/>
      <c r="C509" s="51"/>
      <c r="D509" s="51"/>
      <c r="E509" s="51"/>
      <c r="F509" s="52"/>
      <c r="G509" s="52"/>
      <c r="H509" s="51"/>
      <c r="I509" s="52"/>
    </row>
    <row r="510" spans="1:9" x14ac:dyDescent="0.25">
      <c r="A510" s="51"/>
      <c r="B510" s="52"/>
      <c r="C510" s="51"/>
      <c r="D510" s="51"/>
      <c r="E510" s="51"/>
      <c r="F510" s="52"/>
      <c r="G510" s="52"/>
      <c r="H510" s="51"/>
      <c r="I510" s="52"/>
    </row>
    <row r="511" spans="1:9" x14ac:dyDescent="0.25">
      <c r="A511" s="51"/>
      <c r="B511" s="52"/>
      <c r="C511" s="51"/>
      <c r="D511" s="51"/>
      <c r="E511" s="51"/>
      <c r="F511" s="52"/>
      <c r="G511" s="52"/>
      <c r="H511" s="51"/>
      <c r="I511" s="52"/>
    </row>
    <row r="512" spans="1:9" x14ac:dyDescent="0.25">
      <c r="A512" s="51"/>
      <c r="B512" s="52"/>
      <c r="C512" s="51"/>
      <c r="D512" s="51"/>
      <c r="E512" s="51"/>
      <c r="F512" s="52"/>
      <c r="G512" s="52"/>
      <c r="H512" s="51"/>
      <c r="I512" s="52"/>
    </row>
    <row r="513" spans="1:9" x14ac:dyDescent="0.25">
      <c r="A513" s="51"/>
      <c r="B513" s="52"/>
      <c r="C513" s="51"/>
      <c r="D513" s="51"/>
      <c r="E513" s="51"/>
      <c r="F513" s="52"/>
      <c r="G513" s="52"/>
      <c r="H513" s="51"/>
      <c r="I513" s="52"/>
    </row>
    <row r="514" spans="1:9" x14ac:dyDescent="0.25">
      <c r="A514" s="51"/>
      <c r="B514" s="52"/>
      <c r="C514" s="51"/>
      <c r="D514" s="51"/>
      <c r="E514" s="51"/>
      <c r="F514" s="52"/>
      <c r="G514" s="52"/>
      <c r="H514" s="51"/>
      <c r="I514" s="52"/>
    </row>
    <row r="515" spans="1:9" x14ac:dyDescent="0.25">
      <c r="A515" s="51"/>
      <c r="B515" s="52"/>
      <c r="C515" s="51"/>
      <c r="D515" s="51"/>
      <c r="E515" s="51"/>
      <c r="F515" s="52"/>
      <c r="G515" s="52"/>
      <c r="H515" s="51"/>
      <c r="I515" s="52"/>
    </row>
    <row r="516" spans="1:9" x14ac:dyDescent="0.25">
      <c r="A516" s="51"/>
      <c r="B516" s="52"/>
      <c r="C516" s="51"/>
      <c r="D516" s="51"/>
      <c r="E516" s="51"/>
      <c r="F516" s="52"/>
      <c r="G516" s="52"/>
      <c r="H516" s="51"/>
      <c r="I516" s="52"/>
    </row>
    <row r="517" spans="1:9" x14ac:dyDescent="0.25">
      <c r="A517" s="51"/>
      <c r="B517" s="52"/>
      <c r="C517" s="51"/>
      <c r="D517" s="51"/>
      <c r="E517" s="51"/>
      <c r="F517" s="52"/>
      <c r="G517" s="52"/>
      <c r="H517" s="51"/>
      <c r="I517" s="52"/>
    </row>
    <row r="518" spans="1:9" x14ac:dyDescent="0.25">
      <c r="A518" s="51"/>
      <c r="B518" s="52"/>
      <c r="C518" s="51"/>
      <c r="D518" s="51"/>
      <c r="E518" s="51"/>
      <c r="F518" s="52"/>
      <c r="G518" s="52"/>
      <c r="H518" s="51"/>
      <c r="I518" s="52"/>
    </row>
    <row r="519" spans="1:9" x14ac:dyDescent="0.25">
      <c r="A519" s="51"/>
      <c r="B519" s="52"/>
      <c r="C519" s="51"/>
      <c r="D519" s="51"/>
      <c r="E519" s="51"/>
      <c r="F519" s="52"/>
      <c r="G519" s="52"/>
      <c r="H519" s="51"/>
      <c r="I519" s="52"/>
    </row>
    <row r="520" spans="1:9" x14ac:dyDescent="0.25">
      <c r="A520" s="51"/>
      <c r="B520" s="52"/>
      <c r="C520" s="51"/>
      <c r="D520" s="51"/>
      <c r="E520" s="51"/>
      <c r="F520" s="52"/>
      <c r="G520" s="52"/>
      <c r="H520" s="51"/>
      <c r="I520" s="52"/>
    </row>
    <row r="521" spans="1:9" x14ac:dyDescent="0.25">
      <c r="A521" s="51"/>
      <c r="B521" s="52"/>
      <c r="C521" s="51"/>
      <c r="D521" s="51"/>
      <c r="E521" s="51"/>
      <c r="F521" s="52"/>
      <c r="G521" s="52"/>
      <c r="H521" s="51"/>
      <c r="I521" s="52"/>
    </row>
    <row r="522" spans="1:9" x14ac:dyDescent="0.25">
      <c r="A522" s="51"/>
      <c r="B522" s="52"/>
      <c r="C522" s="51"/>
      <c r="D522" s="51"/>
      <c r="E522" s="51"/>
      <c r="F522" s="52"/>
      <c r="G522" s="52"/>
      <c r="H522" s="51"/>
      <c r="I522" s="52"/>
    </row>
    <row r="523" spans="1:9" x14ac:dyDescent="0.25">
      <c r="A523" s="51"/>
      <c r="B523" s="52"/>
      <c r="C523" s="51"/>
      <c r="D523" s="51"/>
      <c r="E523" s="51"/>
      <c r="F523" s="52"/>
      <c r="G523" s="52"/>
      <c r="H523" s="51"/>
      <c r="I523" s="52"/>
    </row>
    <row r="524" spans="1:9" x14ac:dyDescent="0.25">
      <c r="A524" s="51"/>
      <c r="B524" s="52"/>
      <c r="C524" s="51"/>
      <c r="D524" s="51"/>
      <c r="E524" s="51"/>
      <c r="F524" s="52"/>
      <c r="G524" s="52"/>
      <c r="H524" s="51"/>
      <c r="I524" s="52"/>
    </row>
    <row r="525" spans="1:9" x14ac:dyDescent="0.25">
      <c r="A525" s="51"/>
      <c r="B525" s="52"/>
      <c r="C525" s="51"/>
      <c r="D525" s="51"/>
      <c r="E525" s="51"/>
      <c r="F525" s="52"/>
      <c r="G525" s="52"/>
      <c r="H525" s="51"/>
      <c r="I525" s="52"/>
    </row>
    <row r="526" spans="1:9" x14ac:dyDescent="0.25">
      <c r="A526" s="51"/>
      <c r="B526" s="52"/>
      <c r="C526" s="51"/>
      <c r="D526" s="51"/>
      <c r="E526" s="51"/>
      <c r="F526" s="52"/>
      <c r="G526" s="52"/>
      <c r="H526" s="51"/>
      <c r="I526" s="52"/>
    </row>
    <row r="527" spans="1:9" x14ac:dyDescent="0.25">
      <c r="A527" s="51"/>
      <c r="B527" s="52"/>
      <c r="C527" s="51"/>
      <c r="D527" s="51"/>
      <c r="E527" s="51"/>
      <c r="F527" s="52"/>
      <c r="G527" s="52"/>
      <c r="H527" s="51"/>
      <c r="I527" s="52"/>
    </row>
    <row r="528" spans="1:9" x14ac:dyDescent="0.25">
      <c r="A528" s="51"/>
      <c r="B528" s="52"/>
      <c r="C528" s="51"/>
      <c r="D528" s="51"/>
      <c r="E528" s="51"/>
      <c r="F528" s="52"/>
      <c r="G528" s="52"/>
      <c r="H528" s="51"/>
      <c r="I528" s="52"/>
    </row>
    <row r="529" spans="1:9" x14ac:dyDescent="0.25">
      <c r="A529" s="51"/>
      <c r="B529" s="52"/>
      <c r="C529" s="51"/>
      <c r="D529" s="51"/>
      <c r="E529" s="51"/>
      <c r="F529" s="52"/>
      <c r="G529" s="52"/>
      <c r="H529" s="51"/>
      <c r="I529" s="52"/>
    </row>
    <row r="530" spans="1:9" x14ac:dyDescent="0.25">
      <c r="A530" s="51"/>
      <c r="B530" s="52"/>
      <c r="C530" s="51"/>
      <c r="D530" s="51"/>
      <c r="E530" s="51"/>
      <c r="F530" s="52"/>
      <c r="G530" s="52"/>
      <c r="H530" s="51"/>
      <c r="I530" s="52"/>
    </row>
    <row r="531" spans="1:9" x14ac:dyDescent="0.25">
      <c r="A531" s="51"/>
      <c r="B531" s="52"/>
      <c r="C531" s="51"/>
      <c r="D531" s="51"/>
      <c r="E531" s="51"/>
      <c r="F531" s="52"/>
      <c r="G531" s="52"/>
      <c r="H531" s="51"/>
      <c r="I531" s="52"/>
    </row>
    <row r="532" spans="1:9" x14ac:dyDescent="0.25">
      <c r="A532" s="51"/>
      <c r="B532" s="52"/>
      <c r="C532" s="51"/>
      <c r="D532" s="51"/>
      <c r="E532" s="51"/>
      <c r="F532" s="52"/>
      <c r="G532" s="52"/>
      <c r="H532" s="51"/>
      <c r="I532" s="52"/>
    </row>
    <row r="533" spans="1:9" x14ac:dyDescent="0.25">
      <c r="A533" s="51"/>
      <c r="B533" s="52"/>
      <c r="C533" s="51"/>
      <c r="D533" s="51"/>
      <c r="E533" s="51"/>
      <c r="F533" s="52"/>
      <c r="G533" s="52"/>
      <c r="H533" s="51"/>
      <c r="I533" s="52"/>
    </row>
    <row r="534" spans="1:9" x14ac:dyDescent="0.25">
      <c r="A534" s="51"/>
      <c r="B534" s="52"/>
      <c r="C534" s="51"/>
      <c r="D534" s="51"/>
      <c r="E534" s="51"/>
      <c r="F534" s="52"/>
      <c r="G534" s="52"/>
      <c r="H534" s="51"/>
      <c r="I534" s="52"/>
    </row>
    <row r="535" spans="1:9" x14ac:dyDescent="0.25">
      <c r="A535" s="51"/>
      <c r="B535" s="52"/>
      <c r="C535" s="51"/>
      <c r="D535" s="51"/>
      <c r="E535" s="51"/>
      <c r="F535" s="52"/>
      <c r="G535" s="52"/>
      <c r="H535" s="51"/>
      <c r="I535" s="52"/>
    </row>
    <row r="536" spans="1:9" x14ac:dyDescent="0.25">
      <c r="A536" s="51"/>
      <c r="B536" s="52"/>
      <c r="C536" s="51"/>
      <c r="D536" s="51"/>
      <c r="E536" s="51"/>
      <c r="F536" s="52"/>
      <c r="G536" s="52"/>
      <c r="H536" s="51"/>
      <c r="I536" s="52"/>
    </row>
    <row r="537" spans="1:9" x14ac:dyDescent="0.25">
      <c r="A537" s="51"/>
      <c r="B537" s="52"/>
      <c r="C537" s="51"/>
      <c r="D537" s="51"/>
      <c r="E537" s="51"/>
      <c r="F537" s="52"/>
      <c r="G537" s="52"/>
      <c r="H537" s="51"/>
      <c r="I537" s="52"/>
    </row>
    <row r="538" spans="1:9" x14ac:dyDescent="0.25">
      <c r="A538" s="51"/>
      <c r="B538" s="52"/>
      <c r="C538" s="51"/>
      <c r="D538" s="51"/>
      <c r="E538" s="51"/>
      <c r="F538" s="52"/>
      <c r="G538" s="52"/>
      <c r="H538" s="51"/>
      <c r="I538" s="52"/>
    </row>
    <row r="539" spans="1:9" x14ac:dyDescent="0.25">
      <c r="A539" s="51"/>
      <c r="B539" s="52"/>
      <c r="C539" s="51"/>
      <c r="D539" s="51"/>
      <c r="E539" s="51"/>
      <c r="F539" s="52"/>
      <c r="G539" s="52"/>
      <c r="H539" s="51"/>
      <c r="I539" s="52"/>
    </row>
    <row r="540" spans="1:9" x14ac:dyDescent="0.25">
      <c r="A540" s="51"/>
      <c r="B540" s="52"/>
      <c r="C540" s="51"/>
      <c r="D540" s="51"/>
      <c r="E540" s="51"/>
      <c r="F540" s="52"/>
      <c r="G540" s="52"/>
      <c r="H540" s="51"/>
      <c r="I540" s="52"/>
    </row>
    <row r="541" spans="1:9" x14ac:dyDescent="0.25">
      <c r="A541" s="51"/>
      <c r="B541" s="52"/>
      <c r="C541" s="51"/>
      <c r="D541" s="51"/>
      <c r="E541" s="51"/>
      <c r="F541" s="52"/>
      <c r="G541" s="52"/>
      <c r="H541" s="51"/>
      <c r="I541" s="52"/>
    </row>
    <row r="542" spans="1:9" x14ac:dyDescent="0.25">
      <c r="A542" s="51"/>
      <c r="B542" s="52"/>
      <c r="C542" s="51"/>
      <c r="D542" s="51"/>
      <c r="E542" s="51"/>
      <c r="F542" s="52"/>
      <c r="G542" s="52"/>
      <c r="H542" s="51"/>
      <c r="I542" s="52"/>
    </row>
    <row r="543" spans="1:9" x14ac:dyDescent="0.25">
      <c r="A543" s="51"/>
      <c r="B543" s="52"/>
      <c r="C543" s="51"/>
      <c r="D543" s="51"/>
      <c r="E543" s="51"/>
      <c r="F543" s="52"/>
      <c r="G543" s="52"/>
      <c r="H543" s="51"/>
      <c r="I543" s="52"/>
    </row>
    <row r="544" spans="1:9" x14ac:dyDescent="0.25">
      <c r="A544" s="51"/>
      <c r="B544" s="52"/>
      <c r="C544" s="51"/>
      <c r="D544" s="51"/>
      <c r="E544" s="51"/>
      <c r="F544" s="52"/>
      <c r="G544" s="52"/>
      <c r="H544" s="51"/>
      <c r="I544" s="52"/>
    </row>
    <row r="545" spans="1:9" x14ac:dyDescent="0.25">
      <c r="A545" s="51"/>
      <c r="B545" s="52"/>
      <c r="C545" s="51"/>
      <c r="D545" s="51"/>
      <c r="E545" s="51"/>
      <c r="F545" s="52"/>
      <c r="G545" s="52"/>
      <c r="H545" s="51"/>
      <c r="I545" s="52"/>
    </row>
    <row r="546" spans="1:9" x14ac:dyDescent="0.25">
      <c r="A546" s="51"/>
      <c r="B546" s="52"/>
      <c r="C546" s="51"/>
      <c r="D546" s="51"/>
      <c r="E546" s="51"/>
      <c r="F546" s="52"/>
      <c r="G546" s="52"/>
      <c r="H546" s="51"/>
      <c r="I546" s="52"/>
    </row>
    <row r="547" spans="1:9" x14ac:dyDescent="0.25">
      <c r="A547" s="51"/>
      <c r="B547" s="52"/>
      <c r="C547" s="51"/>
      <c r="D547" s="51"/>
      <c r="E547" s="51"/>
      <c r="F547" s="52"/>
      <c r="G547" s="52"/>
      <c r="H547" s="51"/>
      <c r="I547" s="52"/>
    </row>
    <row r="548" spans="1:9" x14ac:dyDescent="0.25">
      <c r="A548" s="51"/>
      <c r="B548" s="52"/>
      <c r="C548" s="51"/>
      <c r="D548" s="51"/>
      <c r="E548" s="51"/>
      <c r="F548" s="52"/>
      <c r="G548" s="52"/>
      <c r="H548" s="51"/>
      <c r="I548" s="52"/>
    </row>
    <row r="549" spans="1:9" x14ac:dyDescent="0.25">
      <c r="A549" s="51"/>
      <c r="B549" s="52"/>
      <c r="C549" s="51"/>
      <c r="D549" s="51"/>
      <c r="E549" s="51"/>
      <c r="F549" s="52"/>
      <c r="G549" s="52"/>
      <c r="H549" s="51"/>
      <c r="I549" s="52"/>
    </row>
    <row r="550" spans="1:9" x14ac:dyDescent="0.25">
      <c r="A550" s="51"/>
      <c r="B550" s="52"/>
      <c r="C550" s="51"/>
      <c r="D550" s="51"/>
      <c r="E550" s="51"/>
      <c r="F550" s="52"/>
      <c r="G550" s="52"/>
      <c r="H550" s="51"/>
      <c r="I550" s="52"/>
    </row>
    <row r="551" spans="1:9" x14ac:dyDescent="0.25">
      <c r="A551" s="51"/>
      <c r="B551" s="52"/>
      <c r="C551" s="51"/>
      <c r="D551" s="51"/>
      <c r="E551" s="51"/>
      <c r="F551" s="52"/>
      <c r="G551" s="52"/>
      <c r="H551" s="51"/>
      <c r="I551" s="52"/>
    </row>
    <row r="552" spans="1:9" x14ac:dyDescent="0.25">
      <c r="A552" s="51"/>
      <c r="B552" s="52"/>
      <c r="C552" s="51"/>
      <c r="D552" s="51"/>
      <c r="E552" s="51"/>
      <c r="F552" s="52"/>
      <c r="G552" s="52"/>
      <c r="H552" s="51"/>
      <c r="I552" s="52"/>
    </row>
    <row r="553" spans="1:9" x14ac:dyDescent="0.25">
      <c r="A553" s="51"/>
      <c r="B553" s="52"/>
      <c r="C553" s="51"/>
      <c r="D553" s="51"/>
      <c r="E553" s="51"/>
      <c r="F553" s="52"/>
      <c r="G553" s="52"/>
      <c r="H553" s="51"/>
      <c r="I553" s="52"/>
    </row>
    <row r="554" spans="1:9" x14ac:dyDescent="0.25">
      <c r="A554" s="51"/>
      <c r="B554" s="52"/>
      <c r="C554" s="51"/>
      <c r="D554" s="51"/>
      <c r="E554" s="51"/>
      <c r="F554" s="52"/>
      <c r="G554" s="52"/>
      <c r="H554" s="51"/>
      <c r="I554" s="52"/>
    </row>
    <row r="555" spans="1:9" x14ac:dyDescent="0.25">
      <c r="A555" s="51"/>
      <c r="B555" s="52"/>
      <c r="C555" s="51"/>
      <c r="D555" s="51"/>
      <c r="E555" s="51"/>
      <c r="F555" s="52"/>
      <c r="G555" s="52"/>
      <c r="H555" s="51"/>
      <c r="I555" s="52"/>
    </row>
    <row r="556" spans="1:9" x14ac:dyDescent="0.25">
      <c r="A556" s="51"/>
      <c r="B556" s="52"/>
      <c r="C556" s="51"/>
      <c r="D556" s="51"/>
      <c r="E556" s="51"/>
      <c r="F556" s="52"/>
      <c r="G556" s="52"/>
      <c r="H556" s="51"/>
      <c r="I556" s="52"/>
    </row>
    <row r="557" spans="1:9" x14ac:dyDescent="0.25">
      <c r="A557" s="51"/>
      <c r="B557" s="52"/>
      <c r="C557" s="51"/>
      <c r="D557" s="51"/>
      <c r="E557" s="51"/>
      <c r="F557" s="52"/>
      <c r="G557" s="52"/>
      <c r="H557" s="51"/>
      <c r="I557" s="52"/>
    </row>
    <row r="558" spans="1:9" x14ac:dyDescent="0.25">
      <c r="A558" s="51"/>
      <c r="B558" s="52"/>
      <c r="C558" s="51"/>
      <c r="D558" s="51"/>
      <c r="E558" s="51"/>
      <c r="F558" s="52"/>
      <c r="G558" s="52"/>
      <c r="H558" s="51"/>
      <c r="I558" s="52"/>
    </row>
    <row r="559" spans="1:9" x14ac:dyDescent="0.25">
      <c r="A559" s="51"/>
      <c r="B559" s="52"/>
      <c r="C559" s="51"/>
      <c r="D559" s="51"/>
      <c r="E559" s="51"/>
      <c r="F559" s="52"/>
      <c r="G559" s="52"/>
      <c r="H559" s="51"/>
      <c r="I559" s="52"/>
    </row>
    <row r="560" spans="1:9" x14ac:dyDescent="0.25">
      <c r="A560" s="51"/>
      <c r="B560" s="52"/>
      <c r="C560" s="51"/>
      <c r="D560" s="51"/>
      <c r="E560" s="51"/>
      <c r="F560" s="52"/>
      <c r="G560" s="52"/>
      <c r="H560" s="51"/>
      <c r="I560" s="52"/>
    </row>
    <row r="561" spans="1:9" x14ac:dyDescent="0.25">
      <c r="A561" s="51"/>
      <c r="B561" s="52"/>
      <c r="C561" s="51"/>
      <c r="D561" s="51"/>
      <c r="E561" s="51"/>
      <c r="F561" s="52"/>
      <c r="G561" s="52"/>
      <c r="H561" s="51"/>
      <c r="I561" s="52"/>
    </row>
    <row r="562" spans="1:9" x14ac:dyDescent="0.25">
      <c r="A562" s="51"/>
      <c r="B562" s="52"/>
      <c r="C562" s="51"/>
      <c r="D562" s="51"/>
      <c r="E562" s="51"/>
      <c r="F562" s="52"/>
      <c r="G562" s="52"/>
      <c r="H562" s="51"/>
      <c r="I562" s="52"/>
    </row>
    <row r="563" spans="1:9" x14ac:dyDescent="0.25">
      <c r="A563" s="51"/>
      <c r="B563" s="52"/>
      <c r="C563" s="51"/>
      <c r="D563" s="51"/>
      <c r="E563" s="51"/>
      <c r="F563" s="52"/>
      <c r="G563" s="52"/>
      <c r="H563" s="51"/>
      <c r="I563" s="52"/>
    </row>
    <row r="564" spans="1:9" x14ac:dyDescent="0.25">
      <c r="A564" s="51"/>
      <c r="B564" s="52"/>
      <c r="C564" s="51"/>
      <c r="D564" s="51"/>
      <c r="E564" s="51"/>
      <c r="F564" s="52"/>
      <c r="G564" s="52"/>
      <c r="H564" s="51"/>
      <c r="I564" s="52"/>
    </row>
    <row r="565" spans="1:9" x14ac:dyDescent="0.25">
      <c r="A565" s="51"/>
      <c r="B565" s="52"/>
      <c r="C565" s="51"/>
      <c r="D565" s="51"/>
      <c r="E565" s="51"/>
      <c r="F565" s="52"/>
      <c r="G565" s="52"/>
      <c r="H565" s="51"/>
      <c r="I565" s="52"/>
    </row>
    <row r="566" spans="1:9" x14ac:dyDescent="0.25">
      <c r="A566" s="51"/>
      <c r="B566" s="52"/>
      <c r="C566" s="51"/>
      <c r="D566" s="51"/>
      <c r="E566" s="51"/>
      <c r="F566" s="52"/>
      <c r="G566" s="52"/>
      <c r="H566" s="51"/>
      <c r="I566" s="52"/>
    </row>
    <row r="567" spans="1:9" x14ac:dyDescent="0.25">
      <c r="A567" s="51"/>
      <c r="B567" s="52"/>
      <c r="C567" s="51"/>
      <c r="D567" s="51"/>
      <c r="E567" s="51"/>
      <c r="F567" s="52"/>
      <c r="G567" s="52"/>
      <c r="H567" s="51"/>
      <c r="I567" s="52"/>
    </row>
    <row r="568" spans="1:9" x14ac:dyDescent="0.25">
      <c r="A568" s="51"/>
      <c r="B568" s="52"/>
      <c r="C568" s="51"/>
      <c r="D568" s="51"/>
      <c r="E568" s="51"/>
      <c r="F568" s="52"/>
      <c r="G568" s="52"/>
      <c r="H568" s="51"/>
      <c r="I568" s="52"/>
    </row>
    <row r="569" spans="1:9" x14ac:dyDescent="0.25">
      <c r="A569" s="51"/>
      <c r="B569" s="52"/>
      <c r="C569" s="51"/>
      <c r="D569" s="51"/>
      <c r="E569" s="51"/>
      <c r="F569" s="52"/>
      <c r="G569" s="52"/>
      <c r="H569" s="51"/>
      <c r="I569" s="52"/>
    </row>
    <row r="570" spans="1:9" x14ac:dyDescent="0.25">
      <c r="A570" s="51"/>
      <c r="B570" s="52"/>
      <c r="C570" s="51"/>
      <c r="D570" s="51"/>
      <c r="E570" s="51"/>
      <c r="F570" s="52"/>
      <c r="G570" s="52"/>
      <c r="H570" s="51"/>
      <c r="I570" s="52"/>
    </row>
    <row r="571" spans="1:9" x14ac:dyDescent="0.25">
      <c r="A571" s="51"/>
      <c r="B571" s="52"/>
      <c r="C571" s="51"/>
      <c r="D571" s="51"/>
      <c r="E571" s="51"/>
      <c r="F571" s="52"/>
      <c r="G571" s="52"/>
      <c r="H571" s="51"/>
      <c r="I571" s="52"/>
    </row>
    <row r="572" spans="1:9" x14ac:dyDescent="0.25">
      <c r="A572" s="51"/>
      <c r="B572" s="52"/>
      <c r="C572" s="51"/>
      <c r="D572" s="51"/>
      <c r="E572" s="51"/>
      <c r="F572" s="52"/>
      <c r="G572" s="52"/>
      <c r="H572" s="51"/>
      <c r="I572" s="52"/>
    </row>
    <row r="573" spans="1:9" x14ac:dyDescent="0.25">
      <c r="A573" s="51"/>
      <c r="B573" s="52"/>
      <c r="C573" s="51"/>
      <c r="D573" s="51"/>
      <c r="E573" s="51"/>
      <c r="F573" s="52"/>
      <c r="G573" s="52"/>
      <c r="H573" s="51"/>
      <c r="I573" s="52"/>
    </row>
    <row r="574" spans="1:9" x14ac:dyDescent="0.25">
      <c r="A574" s="51"/>
      <c r="B574" s="52"/>
      <c r="C574" s="51"/>
      <c r="D574" s="51"/>
      <c r="E574" s="51"/>
      <c r="F574" s="52"/>
      <c r="G574" s="52"/>
      <c r="H574" s="51"/>
      <c r="I574" s="52"/>
    </row>
    <row r="575" spans="1:9" x14ac:dyDescent="0.25">
      <c r="A575" s="51"/>
      <c r="B575" s="52"/>
      <c r="C575" s="51"/>
      <c r="D575" s="51"/>
      <c r="E575" s="51"/>
      <c r="F575" s="52"/>
      <c r="G575" s="52"/>
      <c r="H575" s="51"/>
      <c r="I575" s="52"/>
    </row>
    <row r="576" spans="1:9" x14ac:dyDescent="0.25">
      <c r="A576" s="51"/>
      <c r="B576" s="52"/>
      <c r="C576" s="51"/>
      <c r="D576" s="51"/>
      <c r="E576" s="51"/>
      <c r="F576" s="52"/>
      <c r="G576" s="52"/>
      <c r="H576" s="51"/>
      <c r="I576" s="52"/>
    </row>
    <row r="577" spans="1:9" x14ac:dyDescent="0.25">
      <c r="A577" s="51"/>
      <c r="B577" s="52"/>
      <c r="C577" s="51"/>
      <c r="D577" s="51"/>
      <c r="E577" s="51"/>
      <c r="F577" s="52"/>
      <c r="G577" s="52"/>
      <c r="H577" s="51"/>
      <c r="I577" s="52"/>
    </row>
    <row r="578" spans="1:9" x14ac:dyDescent="0.25">
      <c r="A578" s="51"/>
      <c r="B578" s="52"/>
      <c r="C578" s="51"/>
      <c r="D578" s="51"/>
      <c r="E578" s="51"/>
      <c r="F578" s="52"/>
      <c r="G578" s="52"/>
      <c r="H578" s="51"/>
      <c r="I578" s="52"/>
    </row>
    <row r="579" spans="1:9" x14ac:dyDescent="0.25">
      <c r="A579" s="51"/>
      <c r="B579" s="52"/>
      <c r="C579" s="51"/>
      <c r="D579" s="51"/>
      <c r="E579" s="51"/>
      <c r="F579" s="52"/>
      <c r="G579" s="52"/>
      <c r="H579" s="51"/>
      <c r="I579" s="52"/>
    </row>
    <row r="580" spans="1:9" x14ac:dyDescent="0.25">
      <c r="A580" s="51"/>
      <c r="B580" s="52"/>
      <c r="C580" s="51"/>
      <c r="D580" s="51"/>
      <c r="E580" s="51"/>
      <c r="F580" s="52"/>
      <c r="G580" s="52"/>
      <c r="H580" s="51"/>
      <c r="I580" s="52"/>
    </row>
    <row r="581" spans="1:9" x14ac:dyDescent="0.25">
      <c r="A581" s="51"/>
      <c r="B581" s="52"/>
      <c r="C581" s="51"/>
      <c r="D581" s="51"/>
      <c r="E581" s="51"/>
      <c r="F581" s="52"/>
      <c r="G581" s="52"/>
      <c r="H581" s="51"/>
      <c r="I581" s="52"/>
    </row>
    <row r="582" spans="1:9" x14ac:dyDescent="0.25">
      <c r="A582" s="51"/>
      <c r="B582" s="52"/>
      <c r="C582" s="51"/>
      <c r="D582" s="51"/>
      <c r="E582" s="51"/>
      <c r="F582" s="52"/>
      <c r="G582" s="52"/>
      <c r="H582" s="51"/>
      <c r="I582" s="52"/>
    </row>
    <row r="583" spans="1:9" x14ac:dyDescent="0.25">
      <c r="A583" s="51"/>
      <c r="B583" s="52"/>
      <c r="C583" s="51"/>
      <c r="D583" s="51"/>
      <c r="E583" s="51"/>
      <c r="F583" s="52"/>
      <c r="G583" s="52"/>
      <c r="H583" s="51"/>
      <c r="I583" s="52"/>
    </row>
    <row r="584" spans="1:9" x14ac:dyDescent="0.25">
      <c r="A584" s="51"/>
      <c r="B584" s="52"/>
      <c r="C584" s="51"/>
      <c r="D584" s="51"/>
      <c r="E584" s="51"/>
      <c r="F584" s="52"/>
      <c r="G584" s="52"/>
      <c r="H584" s="51"/>
      <c r="I584" s="52"/>
    </row>
    <row r="585" spans="1:9" x14ac:dyDescent="0.25">
      <c r="A585" s="51"/>
      <c r="B585" s="52"/>
      <c r="C585" s="51"/>
      <c r="D585" s="51"/>
      <c r="E585" s="51"/>
      <c r="F585" s="52"/>
      <c r="G585" s="52"/>
      <c r="H585" s="51"/>
      <c r="I585" s="52"/>
    </row>
    <row r="586" spans="1:9" x14ac:dyDescent="0.25">
      <c r="A586" s="51"/>
      <c r="B586" s="52"/>
      <c r="C586" s="51"/>
      <c r="D586" s="51"/>
      <c r="E586" s="51"/>
      <c r="F586" s="52"/>
      <c r="G586" s="52"/>
      <c r="H586" s="51"/>
      <c r="I586" s="52"/>
    </row>
    <row r="587" spans="1:9" x14ac:dyDescent="0.25">
      <c r="A587" s="51"/>
      <c r="B587" s="52"/>
      <c r="C587" s="51"/>
      <c r="D587" s="51"/>
      <c r="E587" s="51"/>
      <c r="F587" s="52"/>
      <c r="G587" s="52"/>
      <c r="H587" s="51"/>
      <c r="I587" s="52"/>
    </row>
    <row r="588" spans="1:9" x14ac:dyDescent="0.25">
      <c r="A588" s="51"/>
      <c r="B588" s="52"/>
      <c r="C588" s="51"/>
      <c r="D588" s="51"/>
      <c r="E588" s="51"/>
      <c r="F588" s="52"/>
      <c r="G588" s="52"/>
      <c r="H588" s="51"/>
      <c r="I588" s="52"/>
    </row>
    <row r="589" spans="1:9" x14ac:dyDescent="0.25">
      <c r="A589" s="51"/>
      <c r="B589" s="52"/>
      <c r="C589" s="51"/>
      <c r="D589" s="51"/>
      <c r="E589" s="51"/>
      <c r="F589" s="52"/>
      <c r="G589" s="52"/>
      <c r="H589" s="51"/>
      <c r="I589" s="52"/>
    </row>
    <row r="590" spans="1:9" x14ac:dyDescent="0.25">
      <c r="A590" s="51"/>
      <c r="B590" s="52"/>
      <c r="C590" s="51"/>
      <c r="D590" s="51"/>
      <c r="E590" s="51"/>
      <c r="F590" s="52"/>
      <c r="G590" s="52"/>
      <c r="H590" s="51"/>
      <c r="I590" s="52"/>
    </row>
    <row r="591" spans="1:9" x14ac:dyDescent="0.25">
      <c r="A591" s="51"/>
      <c r="B591" s="52"/>
      <c r="C591" s="51"/>
      <c r="D591" s="51"/>
      <c r="E591" s="51"/>
      <c r="F591" s="52"/>
      <c r="G591" s="52"/>
      <c r="H591" s="51"/>
      <c r="I591" s="52"/>
    </row>
    <row r="592" spans="1:9" x14ac:dyDescent="0.25">
      <c r="A592" s="51"/>
      <c r="B592" s="52"/>
      <c r="C592" s="51"/>
      <c r="D592" s="51"/>
      <c r="E592" s="51"/>
      <c r="F592" s="52"/>
      <c r="G592" s="52"/>
      <c r="H592" s="51"/>
      <c r="I592" s="52"/>
    </row>
    <row r="593" spans="1:9" x14ac:dyDescent="0.25">
      <c r="A593" s="51"/>
      <c r="B593" s="52"/>
      <c r="C593" s="51"/>
      <c r="D593" s="51"/>
      <c r="E593" s="51"/>
      <c r="F593" s="52"/>
      <c r="G593" s="52"/>
      <c r="H593" s="51"/>
      <c r="I593" s="52"/>
    </row>
    <row r="594" spans="1:9" x14ac:dyDescent="0.25">
      <c r="A594" s="51"/>
      <c r="B594" s="52"/>
      <c r="C594" s="51"/>
      <c r="D594" s="51"/>
      <c r="E594" s="51"/>
      <c r="F594" s="52"/>
      <c r="G594" s="52"/>
      <c r="H594" s="51"/>
      <c r="I594" s="52"/>
    </row>
    <row r="595" spans="1:9" x14ac:dyDescent="0.25">
      <c r="A595" s="51"/>
      <c r="B595" s="52"/>
      <c r="C595" s="51"/>
      <c r="D595" s="51"/>
      <c r="E595" s="51"/>
      <c r="F595" s="52"/>
      <c r="G595" s="52"/>
      <c r="H595" s="51"/>
      <c r="I595" s="52"/>
    </row>
    <row r="596" spans="1:9" x14ac:dyDescent="0.25">
      <c r="A596" s="51"/>
      <c r="B596" s="52"/>
      <c r="C596" s="51"/>
      <c r="D596" s="51"/>
      <c r="E596" s="51"/>
      <c r="F596" s="52"/>
      <c r="G596" s="52"/>
      <c r="H596" s="51"/>
      <c r="I596" s="52"/>
    </row>
    <row r="597" spans="1:9" x14ac:dyDescent="0.25">
      <c r="A597" s="51"/>
      <c r="B597" s="52"/>
      <c r="C597" s="51"/>
      <c r="D597" s="51"/>
      <c r="E597" s="51"/>
      <c r="F597" s="52"/>
      <c r="G597" s="52"/>
      <c r="H597" s="51"/>
      <c r="I597" s="52"/>
    </row>
    <row r="598" spans="1:9" x14ac:dyDescent="0.25">
      <c r="A598" s="51"/>
      <c r="B598" s="52"/>
      <c r="C598" s="51"/>
      <c r="D598" s="51"/>
      <c r="E598" s="51"/>
      <c r="F598" s="52"/>
      <c r="G598" s="52"/>
      <c r="H598" s="51"/>
      <c r="I598" s="52"/>
    </row>
    <row r="599" spans="1:9" x14ac:dyDescent="0.25">
      <c r="A599" s="51"/>
      <c r="B599" s="52"/>
      <c r="C599" s="51"/>
      <c r="D599" s="51"/>
      <c r="E599" s="51"/>
      <c r="F599" s="52"/>
      <c r="G599" s="52"/>
      <c r="H599" s="51"/>
      <c r="I599" s="52"/>
    </row>
    <row r="600" spans="1:9" x14ac:dyDescent="0.25">
      <c r="A600" s="51"/>
      <c r="B600" s="52"/>
      <c r="C600" s="51"/>
      <c r="D600" s="51"/>
      <c r="E600" s="51"/>
      <c r="F600" s="52"/>
      <c r="G600" s="52"/>
      <c r="H600" s="51"/>
      <c r="I600" s="52"/>
    </row>
    <row r="601" spans="1:9" x14ac:dyDescent="0.25">
      <c r="A601" s="51"/>
      <c r="B601" s="52"/>
      <c r="C601" s="51"/>
      <c r="D601" s="51"/>
      <c r="E601" s="51"/>
      <c r="F601" s="52"/>
      <c r="G601" s="52"/>
      <c r="H601" s="51"/>
      <c r="I601" s="52"/>
    </row>
    <row r="602" spans="1:9" x14ac:dyDescent="0.25">
      <c r="A602" s="51"/>
      <c r="B602" s="52"/>
      <c r="C602" s="51"/>
      <c r="D602" s="51"/>
      <c r="E602" s="51"/>
      <c r="F602" s="52"/>
      <c r="G602" s="52"/>
      <c r="H602" s="51"/>
      <c r="I602" s="52"/>
    </row>
    <row r="603" spans="1:9" x14ac:dyDescent="0.25">
      <c r="A603" s="51"/>
      <c r="B603" s="52"/>
      <c r="C603" s="51"/>
      <c r="D603" s="51"/>
      <c r="E603" s="51"/>
      <c r="F603" s="52"/>
      <c r="G603" s="52"/>
      <c r="H603" s="51"/>
      <c r="I603" s="52"/>
    </row>
    <row r="604" spans="1:9" x14ac:dyDescent="0.25">
      <c r="A604" s="51"/>
      <c r="B604" s="52"/>
      <c r="C604" s="51"/>
      <c r="D604" s="51"/>
      <c r="E604" s="51"/>
      <c r="F604" s="52"/>
      <c r="G604" s="52"/>
      <c r="H604" s="51"/>
      <c r="I604" s="52"/>
    </row>
    <row r="605" spans="1:9" x14ac:dyDescent="0.25">
      <c r="A605" s="51"/>
      <c r="B605" s="52"/>
      <c r="C605" s="51"/>
      <c r="D605" s="51"/>
      <c r="E605" s="51"/>
      <c r="F605" s="52"/>
      <c r="G605" s="52"/>
      <c r="H605" s="51"/>
      <c r="I605" s="52"/>
    </row>
    <row r="606" spans="1:9" x14ac:dyDescent="0.25">
      <c r="A606" s="51"/>
      <c r="B606" s="52"/>
      <c r="C606" s="51"/>
      <c r="D606" s="51"/>
      <c r="E606" s="51"/>
      <c r="F606" s="52"/>
      <c r="G606" s="52"/>
      <c r="H606" s="51"/>
      <c r="I606" s="52"/>
    </row>
    <row r="607" spans="1:9" x14ac:dyDescent="0.25">
      <c r="A607" s="51"/>
      <c r="B607" s="52"/>
      <c r="C607" s="51"/>
      <c r="D607" s="51"/>
      <c r="E607" s="51"/>
      <c r="F607" s="52"/>
      <c r="G607" s="52"/>
      <c r="H607" s="51"/>
      <c r="I607" s="52"/>
    </row>
    <row r="608" spans="1:9" x14ac:dyDescent="0.25">
      <c r="A608" s="51"/>
      <c r="B608" s="52"/>
      <c r="C608" s="51"/>
      <c r="D608" s="51"/>
      <c r="E608" s="51"/>
      <c r="F608" s="52"/>
      <c r="G608" s="52"/>
      <c r="H608" s="51"/>
      <c r="I608" s="52"/>
    </row>
    <row r="609" spans="1:9" x14ac:dyDescent="0.25">
      <c r="A609" s="51"/>
      <c r="B609" s="52"/>
      <c r="C609" s="51"/>
      <c r="D609" s="51"/>
      <c r="E609" s="51"/>
      <c r="F609" s="52"/>
      <c r="G609" s="52"/>
      <c r="H609" s="51"/>
      <c r="I609" s="52"/>
    </row>
    <row r="610" spans="1:9" x14ac:dyDescent="0.25">
      <c r="A610" s="51"/>
      <c r="B610" s="52"/>
      <c r="C610" s="51"/>
      <c r="D610" s="51"/>
      <c r="E610" s="51"/>
      <c r="F610" s="52"/>
      <c r="G610" s="52"/>
      <c r="H610" s="51"/>
      <c r="I610" s="52"/>
    </row>
    <row r="611" spans="1:9" x14ac:dyDescent="0.25">
      <c r="A611" s="51"/>
      <c r="B611" s="52"/>
      <c r="C611" s="51"/>
      <c r="D611" s="51"/>
      <c r="E611" s="51"/>
      <c r="F611" s="52"/>
      <c r="G611" s="52"/>
      <c r="H611" s="51"/>
      <c r="I611" s="52"/>
    </row>
    <row r="612" spans="1:9" x14ac:dyDescent="0.25">
      <c r="A612" s="51"/>
      <c r="B612" s="52"/>
      <c r="C612" s="51"/>
      <c r="D612" s="51"/>
      <c r="E612" s="51"/>
      <c r="F612" s="52"/>
      <c r="G612" s="52"/>
      <c r="H612" s="51"/>
      <c r="I612" s="52"/>
    </row>
    <row r="613" spans="1:9" x14ac:dyDescent="0.25">
      <c r="A613" s="51"/>
      <c r="B613" s="52"/>
      <c r="C613" s="51"/>
      <c r="D613" s="51"/>
      <c r="E613" s="51"/>
      <c r="F613" s="52"/>
      <c r="G613" s="52"/>
      <c r="H613" s="51"/>
      <c r="I613" s="52"/>
    </row>
    <row r="614" spans="1:9" x14ac:dyDescent="0.25">
      <c r="A614" s="51"/>
      <c r="B614" s="52"/>
      <c r="C614" s="51"/>
      <c r="D614" s="51"/>
      <c r="E614" s="51"/>
      <c r="F614" s="52"/>
      <c r="G614" s="52"/>
      <c r="H614" s="51"/>
      <c r="I614" s="52"/>
    </row>
    <row r="615" spans="1:9" x14ac:dyDescent="0.25">
      <c r="A615" s="51"/>
      <c r="B615" s="52"/>
      <c r="C615" s="51"/>
      <c r="D615" s="51"/>
      <c r="E615" s="51"/>
      <c r="F615" s="52"/>
      <c r="G615" s="52"/>
      <c r="H615" s="51"/>
      <c r="I615" s="52"/>
    </row>
    <row r="616" spans="1:9" x14ac:dyDescent="0.25">
      <c r="A616" s="51"/>
      <c r="B616" s="52"/>
      <c r="C616" s="51"/>
      <c r="D616" s="51"/>
      <c r="E616" s="51"/>
      <c r="F616" s="52"/>
      <c r="G616" s="52"/>
      <c r="H616" s="51"/>
      <c r="I616" s="52"/>
    </row>
    <row r="617" spans="1:9" x14ac:dyDescent="0.25">
      <c r="A617" s="51"/>
      <c r="B617" s="52"/>
      <c r="C617" s="51"/>
      <c r="D617" s="51"/>
      <c r="E617" s="51"/>
      <c r="F617" s="52"/>
      <c r="G617" s="52"/>
      <c r="H617" s="51"/>
      <c r="I617" s="52"/>
    </row>
    <row r="618" spans="1:9" x14ac:dyDescent="0.25">
      <c r="A618" s="51"/>
      <c r="B618" s="52"/>
      <c r="C618" s="51"/>
      <c r="D618" s="51"/>
      <c r="E618" s="51"/>
      <c r="F618" s="52"/>
      <c r="G618" s="52"/>
      <c r="H618" s="51"/>
      <c r="I618" s="52"/>
    </row>
    <row r="619" spans="1:9" x14ac:dyDescent="0.25">
      <c r="A619" s="51"/>
      <c r="B619" s="52"/>
      <c r="C619" s="51"/>
      <c r="D619" s="51"/>
      <c r="E619" s="51"/>
      <c r="F619" s="52"/>
      <c r="G619" s="52"/>
      <c r="H619" s="51"/>
      <c r="I619" s="52"/>
    </row>
    <row r="620" spans="1:9" x14ac:dyDescent="0.25">
      <c r="A620" s="51"/>
      <c r="B620" s="52"/>
      <c r="C620" s="51"/>
      <c r="D620" s="51"/>
      <c r="E620" s="51"/>
      <c r="F620" s="52"/>
      <c r="G620" s="52"/>
      <c r="H620" s="51"/>
      <c r="I620" s="52"/>
    </row>
    <row r="621" spans="1:9" x14ac:dyDescent="0.25">
      <c r="A621" s="51"/>
      <c r="B621" s="52"/>
      <c r="C621" s="51"/>
      <c r="D621" s="51"/>
      <c r="E621" s="51"/>
      <c r="F621" s="52"/>
      <c r="G621" s="52"/>
      <c r="H621" s="51"/>
      <c r="I621" s="52"/>
    </row>
    <row r="622" spans="1:9" x14ac:dyDescent="0.25">
      <c r="A622" s="51"/>
      <c r="B622" s="52"/>
      <c r="C622" s="51"/>
      <c r="D622" s="51"/>
      <c r="E622" s="51"/>
      <c r="F622" s="52"/>
      <c r="G622" s="52"/>
      <c r="H622" s="51"/>
      <c r="I622" s="52"/>
    </row>
    <row r="623" spans="1:9" x14ac:dyDescent="0.25">
      <c r="A623" s="51"/>
      <c r="B623" s="52"/>
      <c r="C623" s="51"/>
      <c r="D623" s="51"/>
      <c r="E623" s="51"/>
      <c r="F623" s="52"/>
      <c r="G623" s="52"/>
      <c r="H623" s="51"/>
      <c r="I623" s="52"/>
    </row>
    <row r="624" spans="1:9" x14ac:dyDescent="0.25">
      <c r="A624" s="51"/>
      <c r="B624" s="52"/>
      <c r="C624" s="51"/>
      <c r="D624" s="51"/>
      <c r="E624" s="51"/>
      <c r="F624" s="52"/>
      <c r="G624" s="52"/>
      <c r="H624" s="51"/>
      <c r="I624" s="52"/>
    </row>
    <row r="625" spans="1:9" x14ac:dyDescent="0.25">
      <c r="A625" s="51"/>
      <c r="B625" s="52"/>
      <c r="C625" s="51"/>
      <c r="D625" s="51"/>
      <c r="E625" s="51"/>
      <c r="F625" s="52"/>
      <c r="G625" s="52"/>
      <c r="H625" s="51"/>
      <c r="I625" s="52"/>
    </row>
    <row r="626" spans="1:9" x14ac:dyDescent="0.25">
      <c r="A626" s="51"/>
      <c r="B626" s="52"/>
      <c r="C626" s="51"/>
      <c r="D626" s="51"/>
      <c r="E626" s="51"/>
      <c r="F626" s="52"/>
      <c r="G626" s="52"/>
      <c r="H626" s="51"/>
      <c r="I626" s="52"/>
    </row>
    <row r="627" spans="1:9" x14ac:dyDescent="0.25">
      <c r="A627" s="51"/>
      <c r="B627" s="52"/>
      <c r="C627" s="51"/>
      <c r="D627" s="51"/>
      <c r="E627" s="51"/>
      <c r="F627" s="52"/>
      <c r="G627" s="52"/>
      <c r="H627" s="51"/>
      <c r="I627" s="52"/>
    </row>
    <row r="628" spans="1:9" x14ac:dyDescent="0.25">
      <c r="A628" s="51"/>
      <c r="B628" s="52"/>
      <c r="C628" s="51"/>
      <c r="D628" s="51"/>
      <c r="E628" s="51"/>
      <c r="F628" s="52"/>
      <c r="G628" s="52"/>
      <c r="H628" s="51"/>
      <c r="I628" s="52"/>
    </row>
    <row r="629" spans="1:9" x14ac:dyDescent="0.25">
      <c r="A629" s="51"/>
      <c r="B629" s="52"/>
      <c r="C629" s="51"/>
      <c r="D629" s="51"/>
      <c r="E629" s="51"/>
      <c r="F629" s="52"/>
      <c r="G629" s="52"/>
      <c r="H629" s="51"/>
      <c r="I629" s="52"/>
    </row>
    <row r="630" spans="1:9" x14ac:dyDescent="0.25">
      <c r="A630" s="51"/>
      <c r="B630" s="52"/>
      <c r="C630" s="51"/>
      <c r="D630" s="51"/>
      <c r="E630" s="51"/>
      <c r="F630" s="52"/>
      <c r="G630" s="52"/>
      <c r="H630" s="51"/>
      <c r="I630" s="52"/>
    </row>
    <row r="631" spans="1:9" x14ac:dyDescent="0.25">
      <c r="A631" s="51"/>
      <c r="B631" s="52"/>
      <c r="C631" s="51"/>
      <c r="D631" s="51"/>
      <c r="E631" s="51"/>
      <c r="F631" s="52"/>
      <c r="G631" s="52"/>
      <c r="H631" s="51"/>
      <c r="I631" s="52"/>
    </row>
    <row r="632" spans="1:9" x14ac:dyDescent="0.25">
      <c r="A632" s="51"/>
      <c r="B632" s="52"/>
      <c r="C632" s="51"/>
      <c r="D632" s="51"/>
      <c r="E632" s="51"/>
      <c r="F632" s="52"/>
      <c r="G632" s="52"/>
      <c r="H632" s="51"/>
      <c r="I632" s="52"/>
    </row>
    <row r="633" spans="1:9" x14ac:dyDescent="0.25">
      <c r="A633" s="51"/>
      <c r="B633" s="52"/>
      <c r="C633" s="51"/>
      <c r="D633" s="51"/>
      <c r="E633" s="51"/>
      <c r="F633" s="52"/>
      <c r="G633" s="52"/>
      <c r="H633" s="51"/>
      <c r="I633" s="52"/>
    </row>
    <row r="634" spans="1:9" x14ac:dyDescent="0.25">
      <c r="A634" s="51"/>
      <c r="B634" s="52"/>
      <c r="C634" s="51"/>
      <c r="D634" s="51"/>
      <c r="E634" s="51"/>
      <c r="F634" s="52"/>
      <c r="G634" s="52"/>
      <c r="H634" s="51"/>
      <c r="I634" s="52"/>
    </row>
    <row r="635" spans="1:9" x14ac:dyDescent="0.25">
      <c r="A635" s="51"/>
      <c r="B635" s="52"/>
      <c r="C635" s="51"/>
      <c r="D635" s="51"/>
      <c r="E635" s="51"/>
      <c r="F635" s="52"/>
      <c r="G635" s="52"/>
      <c r="H635" s="51"/>
      <c r="I635" s="52"/>
    </row>
    <row r="636" spans="1:9" x14ac:dyDescent="0.25">
      <c r="A636" s="51"/>
      <c r="B636" s="52"/>
      <c r="C636" s="51"/>
      <c r="D636" s="51"/>
      <c r="E636" s="51"/>
      <c r="F636" s="52"/>
      <c r="G636" s="52"/>
      <c r="H636" s="51"/>
      <c r="I636" s="52"/>
    </row>
    <row r="637" spans="1:9" x14ac:dyDescent="0.25">
      <c r="A637" s="51"/>
      <c r="B637" s="52"/>
      <c r="C637" s="51"/>
      <c r="D637" s="51"/>
      <c r="E637" s="51"/>
      <c r="F637" s="52"/>
      <c r="G637" s="52"/>
      <c r="H637" s="51"/>
      <c r="I637" s="52"/>
    </row>
    <row r="638" spans="1:9" x14ac:dyDescent="0.25">
      <c r="A638" s="51"/>
      <c r="B638" s="52"/>
      <c r="C638" s="51"/>
      <c r="D638" s="51"/>
      <c r="E638" s="51"/>
      <c r="F638" s="52"/>
      <c r="G638" s="52"/>
      <c r="H638" s="51"/>
      <c r="I638" s="52"/>
    </row>
    <row r="639" spans="1:9" x14ac:dyDescent="0.25">
      <c r="A639" s="51"/>
      <c r="B639" s="52"/>
      <c r="C639" s="51"/>
      <c r="D639" s="51"/>
      <c r="E639" s="51"/>
      <c r="F639" s="52"/>
      <c r="G639" s="52"/>
      <c r="H639" s="51"/>
      <c r="I639" s="52"/>
    </row>
    <row r="640" spans="1:9" x14ac:dyDescent="0.25">
      <c r="A640" s="51"/>
      <c r="B640" s="52"/>
      <c r="C640" s="51"/>
      <c r="D640" s="51"/>
      <c r="E640" s="51"/>
      <c r="F640" s="52"/>
      <c r="G640" s="52"/>
      <c r="H640" s="51"/>
      <c r="I640" s="52"/>
    </row>
    <row r="641" spans="1:9" x14ac:dyDescent="0.25">
      <c r="A641" s="51"/>
      <c r="B641" s="52"/>
      <c r="C641" s="51"/>
      <c r="D641" s="51"/>
      <c r="E641" s="51"/>
      <c r="F641" s="52"/>
      <c r="G641" s="52"/>
      <c r="H641" s="51"/>
      <c r="I641" s="52"/>
    </row>
    <row r="642" spans="1:9" x14ac:dyDescent="0.25">
      <c r="A642" s="51"/>
      <c r="B642" s="52"/>
      <c r="C642" s="51"/>
      <c r="D642" s="51"/>
      <c r="E642" s="51"/>
      <c r="F642" s="52"/>
      <c r="G642" s="52"/>
      <c r="H642" s="51"/>
      <c r="I642" s="52"/>
    </row>
    <row r="643" spans="1:9" x14ac:dyDescent="0.25">
      <c r="A643" s="51"/>
      <c r="B643" s="52"/>
      <c r="C643" s="51"/>
      <c r="D643" s="51"/>
      <c r="E643" s="51"/>
      <c r="F643" s="52"/>
      <c r="G643" s="52"/>
      <c r="H643" s="51"/>
      <c r="I643" s="52"/>
    </row>
    <row r="644" spans="1:9" x14ac:dyDescent="0.25">
      <c r="A644" s="51"/>
      <c r="B644" s="52"/>
      <c r="C644" s="51"/>
      <c r="D644" s="51"/>
      <c r="E644" s="51"/>
      <c r="F644" s="52"/>
      <c r="G644" s="52"/>
      <c r="H644" s="51"/>
      <c r="I644" s="52"/>
    </row>
    <row r="645" spans="1:9" x14ac:dyDescent="0.25">
      <c r="A645" s="51"/>
      <c r="B645" s="52"/>
      <c r="C645" s="51"/>
      <c r="D645" s="51"/>
      <c r="E645" s="51"/>
      <c r="F645" s="52"/>
      <c r="G645" s="52"/>
      <c r="H645" s="51"/>
      <c r="I645" s="52"/>
    </row>
    <row r="646" spans="1:9" x14ac:dyDescent="0.25">
      <c r="A646" s="51"/>
      <c r="B646" s="52"/>
      <c r="C646" s="51"/>
      <c r="D646" s="51"/>
      <c r="E646" s="51"/>
      <c r="F646" s="52"/>
      <c r="G646" s="52"/>
      <c r="H646" s="51"/>
      <c r="I646" s="52"/>
    </row>
    <row r="647" spans="1:9" x14ac:dyDescent="0.25">
      <c r="A647" s="51"/>
      <c r="B647" s="52"/>
      <c r="C647" s="51"/>
      <c r="D647" s="51"/>
      <c r="E647" s="51"/>
      <c r="F647" s="52"/>
      <c r="G647" s="52"/>
      <c r="H647" s="51"/>
      <c r="I647" s="52"/>
    </row>
    <row r="648" spans="1:9" x14ac:dyDescent="0.25">
      <c r="A648" s="51"/>
      <c r="B648" s="52"/>
      <c r="C648" s="51"/>
      <c r="D648" s="51"/>
      <c r="E648" s="51"/>
      <c r="F648" s="52"/>
      <c r="G648" s="52"/>
      <c r="H648" s="51"/>
      <c r="I648" s="52"/>
    </row>
    <row r="649" spans="1:9" x14ac:dyDescent="0.25">
      <c r="A649" s="51"/>
      <c r="B649" s="52"/>
      <c r="C649" s="51"/>
      <c r="D649" s="51"/>
      <c r="E649" s="51"/>
      <c r="F649" s="52"/>
      <c r="G649" s="52"/>
      <c r="H649" s="51"/>
      <c r="I649" s="52"/>
    </row>
    <row r="650" spans="1:9" x14ac:dyDescent="0.25">
      <c r="A650" s="51"/>
      <c r="B650" s="52"/>
      <c r="C650" s="51"/>
      <c r="D650" s="51"/>
      <c r="E650" s="51"/>
      <c r="F650" s="52"/>
      <c r="G650" s="52"/>
      <c r="H650" s="51"/>
      <c r="I650" s="52"/>
    </row>
    <row r="651" spans="1:9" x14ac:dyDescent="0.25">
      <c r="A651" s="51"/>
      <c r="B651" s="52"/>
      <c r="C651" s="51"/>
      <c r="D651" s="51"/>
      <c r="E651" s="51"/>
      <c r="F651" s="52"/>
      <c r="G651" s="52"/>
      <c r="H651" s="51"/>
      <c r="I651" s="52"/>
    </row>
    <row r="652" spans="1:9" x14ac:dyDescent="0.25">
      <c r="A652" s="51"/>
      <c r="B652" s="52"/>
      <c r="C652" s="51"/>
      <c r="D652" s="51"/>
      <c r="E652" s="51"/>
      <c r="F652" s="52"/>
      <c r="G652" s="52"/>
      <c r="H652" s="51"/>
      <c r="I652" s="52"/>
    </row>
    <row r="653" spans="1:9" x14ac:dyDescent="0.25">
      <c r="A653" s="51"/>
      <c r="B653" s="52"/>
      <c r="C653" s="51"/>
      <c r="D653" s="51"/>
      <c r="E653" s="51"/>
      <c r="F653" s="52"/>
      <c r="G653" s="52"/>
      <c r="H653" s="51"/>
      <c r="I653" s="52"/>
    </row>
    <row r="654" spans="1:9" x14ac:dyDescent="0.25">
      <c r="A654" s="51"/>
      <c r="B654" s="52"/>
      <c r="C654" s="51"/>
      <c r="D654" s="51"/>
      <c r="E654" s="51"/>
      <c r="F654" s="52"/>
      <c r="G654" s="52"/>
      <c r="H654" s="51"/>
      <c r="I654" s="52"/>
    </row>
    <row r="655" spans="1:9" x14ac:dyDescent="0.25">
      <c r="A655" s="51"/>
      <c r="B655" s="52"/>
      <c r="C655" s="51"/>
      <c r="D655" s="51"/>
      <c r="E655" s="51"/>
      <c r="F655" s="52"/>
      <c r="G655" s="52"/>
      <c r="H655" s="51"/>
      <c r="I655" s="52"/>
    </row>
    <row r="656" spans="1:9" x14ac:dyDescent="0.25">
      <c r="A656" s="51"/>
      <c r="B656" s="52"/>
      <c r="C656" s="51"/>
      <c r="D656" s="51"/>
      <c r="E656" s="51"/>
      <c r="F656" s="52"/>
      <c r="G656" s="52"/>
      <c r="H656" s="51"/>
      <c r="I656" s="52"/>
    </row>
    <row r="657" spans="1:9" x14ac:dyDescent="0.25">
      <c r="A657" s="51"/>
      <c r="B657" s="52"/>
      <c r="C657" s="51"/>
      <c r="D657" s="51"/>
      <c r="E657" s="51"/>
      <c r="F657" s="52"/>
      <c r="G657" s="52"/>
      <c r="H657" s="51"/>
      <c r="I657" s="52"/>
    </row>
    <row r="658" spans="1:9" x14ac:dyDescent="0.25">
      <c r="A658" s="51"/>
      <c r="B658" s="52"/>
      <c r="C658" s="51"/>
      <c r="D658" s="51"/>
      <c r="E658" s="51"/>
      <c r="F658" s="52"/>
      <c r="G658" s="52"/>
      <c r="H658" s="51"/>
      <c r="I658" s="52"/>
    </row>
    <row r="659" spans="1:9" x14ac:dyDescent="0.25">
      <c r="A659" s="51"/>
      <c r="B659" s="52"/>
      <c r="C659" s="51"/>
      <c r="D659" s="51"/>
      <c r="E659" s="51"/>
      <c r="F659" s="52"/>
      <c r="G659" s="52"/>
      <c r="H659" s="51"/>
      <c r="I659" s="52"/>
    </row>
    <row r="660" spans="1:9" x14ac:dyDescent="0.25">
      <c r="A660" s="51"/>
      <c r="B660" s="52"/>
      <c r="C660" s="51"/>
      <c r="D660" s="51"/>
      <c r="E660" s="51"/>
      <c r="F660" s="52"/>
      <c r="G660" s="52"/>
      <c r="H660" s="51"/>
      <c r="I660" s="52"/>
    </row>
    <row r="661" spans="1:9" x14ac:dyDescent="0.25">
      <c r="A661" s="51"/>
      <c r="B661" s="52"/>
      <c r="C661" s="51"/>
      <c r="D661" s="51"/>
      <c r="E661" s="51"/>
      <c r="F661" s="52"/>
      <c r="G661" s="52"/>
      <c r="H661" s="51"/>
      <c r="I661" s="52"/>
    </row>
    <row r="662" spans="1:9" x14ac:dyDescent="0.25">
      <c r="A662" s="51"/>
      <c r="B662" s="52"/>
      <c r="C662" s="51"/>
      <c r="D662" s="51"/>
      <c r="E662" s="51"/>
      <c r="F662" s="52"/>
      <c r="G662" s="52"/>
      <c r="H662" s="51"/>
      <c r="I662" s="52"/>
    </row>
    <row r="663" spans="1:9" x14ac:dyDescent="0.25">
      <c r="A663" s="51"/>
      <c r="B663" s="52"/>
      <c r="C663" s="51"/>
      <c r="D663" s="51"/>
      <c r="E663" s="51"/>
      <c r="F663" s="52"/>
      <c r="G663" s="52"/>
      <c r="H663" s="51"/>
      <c r="I663" s="52"/>
    </row>
    <row r="664" spans="1:9" x14ac:dyDescent="0.25">
      <c r="A664" s="51"/>
      <c r="B664" s="52"/>
      <c r="C664" s="51"/>
      <c r="D664" s="51"/>
      <c r="E664" s="51"/>
      <c r="F664" s="52"/>
      <c r="G664" s="52"/>
      <c r="H664" s="51"/>
      <c r="I664" s="52"/>
    </row>
    <row r="665" spans="1:9" x14ac:dyDescent="0.25">
      <c r="A665" s="51"/>
      <c r="B665" s="52"/>
      <c r="C665" s="51"/>
      <c r="D665" s="51"/>
      <c r="E665" s="51"/>
      <c r="F665" s="52"/>
      <c r="G665" s="52"/>
      <c r="H665" s="51"/>
      <c r="I665" s="52"/>
    </row>
    <row r="666" spans="1:9" x14ac:dyDescent="0.25">
      <c r="A666" s="51"/>
      <c r="B666" s="52"/>
      <c r="C666" s="51"/>
      <c r="D666" s="51"/>
      <c r="E666" s="51"/>
      <c r="F666" s="52"/>
      <c r="G666" s="52"/>
      <c r="H666" s="51"/>
      <c r="I666" s="52"/>
    </row>
    <row r="667" spans="1:9" x14ac:dyDescent="0.25">
      <c r="A667" s="51"/>
      <c r="B667" s="52"/>
      <c r="C667" s="51"/>
      <c r="D667" s="51"/>
      <c r="E667" s="51"/>
      <c r="F667" s="52"/>
      <c r="G667" s="52"/>
      <c r="H667" s="51"/>
      <c r="I667" s="52"/>
    </row>
    <row r="668" spans="1:9" x14ac:dyDescent="0.25">
      <c r="A668" s="51"/>
      <c r="B668" s="52"/>
      <c r="C668" s="51"/>
      <c r="D668" s="51"/>
      <c r="E668" s="51"/>
      <c r="F668" s="52"/>
      <c r="G668" s="52"/>
      <c r="H668" s="51"/>
      <c r="I668" s="52"/>
    </row>
    <row r="669" spans="1:9" x14ac:dyDescent="0.25">
      <c r="A669" s="51"/>
      <c r="B669" s="52"/>
      <c r="C669" s="51"/>
      <c r="D669" s="51"/>
      <c r="E669" s="51"/>
      <c r="F669" s="52"/>
      <c r="G669" s="52"/>
      <c r="H669" s="51"/>
      <c r="I669" s="52"/>
    </row>
    <row r="670" spans="1:9" x14ac:dyDescent="0.25">
      <c r="A670" s="51"/>
      <c r="B670" s="52"/>
      <c r="C670" s="51"/>
      <c r="D670" s="51"/>
      <c r="E670" s="51"/>
      <c r="F670" s="52"/>
      <c r="G670" s="52"/>
      <c r="H670" s="51"/>
      <c r="I670" s="52"/>
    </row>
    <row r="671" spans="1:9" x14ac:dyDescent="0.25">
      <c r="A671" s="51"/>
      <c r="B671" s="52"/>
      <c r="C671" s="51"/>
      <c r="D671" s="51"/>
      <c r="E671" s="51"/>
      <c r="F671" s="52"/>
      <c r="G671" s="52"/>
      <c r="H671" s="51"/>
      <c r="I671" s="52"/>
    </row>
    <row r="672" spans="1:9" x14ac:dyDescent="0.25">
      <c r="A672" s="51"/>
      <c r="B672" s="52"/>
      <c r="C672" s="51"/>
      <c r="D672" s="51"/>
      <c r="E672" s="51"/>
      <c r="F672" s="52"/>
      <c r="G672" s="52"/>
      <c r="H672" s="51"/>
      <c r="I672" s="52"/>
    </row>
    <row r="673" spans="1:9" x14ac:dyDescent="0.25">
      <c r="A673" s="51"/>
      <c r="B673" s="52"/>
      <c r="C673" s="51"/>
      <c r="D673" s="51"/>
      <c r="E673" s="51"/>
      <c r="F673" s="52"/>
      <c r="G673" s="52"/>
      <c r="H673" s="51"/>
      <c r="I673" s="52"/>
    </row>
    <row r="674" spans="1:9" x14ac:dyDescent="0.25">
      <c r="A674" s="51"/>
      <c r="B674" s="52"/>
      <c r="C674" s="51"/>
      <c r="D674" s="51"/>
      <c r="E674" s="51"/>
      <c r="F674" s="52"/>
      <c r="G674" s="52"/>
      <c r="H674" s="51"/>
      <c r="I674" s="52"/>
    </row>
    <row r="675" spans="1:9" x14ac:dyDescent="0.25">
      <c r="A675" s="51"/>
      <c r="B675" s="52"/>
      <c r="C675" s="51"/>
      <c r="D675" s="51"/>
      <c r="E675" s="51"/>
      <c r="F675" s="52"/>
      <c r="G675" s="52"/>
      <c r="H675" s="51"/>
      <c r="I675" s="52"/>
    </row>
    <row r="676" spans="1:9" x14ac:dyDescent="0.25">
      <c r="A676" s="51"/>
      <c r="B676" s="52"/>
      <c r="C676" s="51"/>
      <c r="D676" s="51"/>
      <c r="E676" s="51"/>
      <c r="F676" s="52"/>
      <c r="G676" s="52"/>
      <c r="H676" s="51"/>
      <c r="I676" s="52"/>
    </row>
    <row r="677" spans="1:9" x14ac:dyDescent="0.25">
      <c r="A677" s="51"/>
      <c r="B677" s="52"/>
      <c r="C677" s="51"/>
      <c r="D677" s="51"/>
      <c r="E677" s="51"/>
      <c r="F677" s="52"/>
      <c r="G677" s="52"/>
      <c r="H677" s="51"/>
      <c r="I677" s="52"/>
    </row>
    <row r="678" spans="1:9" x14ac:dyDescent="0.25">
      <c r="A678" s="51"/>
      <c r="B678" s="52"/>
      <c r="C678" s="51"/>
      <c r="D678" s="51"/>
      <c r="E678" s="51"/>
      <c r="F678" s="52"/>
      <c r="G678" s="52"/>
      <c r="H678" s="51"/>
      <c r="I678" s="52"/>
    </row>
    <row r="679" spans="1:9" x14ac:dyDescent="0.25">
      <c r="A679" s="51"/>
      <c r="B679" s="52"/>
      <c r="C679" s="51"/>
      <c r="D679" s="51"/>
      <c r="E679" s="51"/>
      <c r="F679" s="52"/>
      <c r="G679" s="52"/>
      <c r="H679" s="51"/>
      <c r="I679" s="52"/>
    </row>
    <row r="680" spans="1:9" x14ac:dyDescent="0.25">
      <c r="A680" s="51"/>
      <c r="B680" s="52"/>
      <c r="C680" s="51"/>
      <c r="D680" s="51"/>
      <c r="E680" s="51"/>
      <c r="F680" s="52"/>
      <c r="G680" s="52"/>
      <c r="H680" s="51"/>
      <c r="I680" s="52"/>
    </row>
    <row r="681" spans="1:9" x14ac:dyDescent="0.25">
      <c r="A681" s="51"/>
      <c r="B681" s="52"/>
      <c r="C681" s="51"/>
      <c r="D681" s="51"/>
      <c r="E681" s="51"/>
      <c r="F681" s="52"/>
      <c r="G681" s="52"/>
      <c r="H681" s="51"/>
      <c r="I681" s="52"/>
    </row>
    <row r="682" spans="1:9" x14ac:dyDescent="0.25">
      <c r="A682" s="51"/>
      <c r="B682" s="52"/>
      <c r="C682" s="51"/>
      <c r="D682" s="51"/>
      <c r="E682" s="51"/>
      <c r="F682" s="52"/>
      <c r="G682" s="52"/>
      <c r="H682" s="51"/>
      <c r="I682" s="52"/>
    </row>
    <row r="683" spans="1:9" x14ac:dyDescent="0.25">
      <c r="A683" s="51"/>
      <c r="B683" s="52"/>
      <c r="C683" s="51"/>
      <c r="D683" s="51"/>
      <c r="E683" s="51"/>
      <c r="F683" s="52"/>
      <c r="G683" s="52"/>
      <c r="H683" s="51"/>
      <c r="I683" s="52"/>
    </row>
    <row r="684" spans="1:9" x14ac:dyDescent="0.25">
      <c r="A684" s="51"/>
      <c r="B684" s="52"/>
      <c r="C684" s="51"/>
      <c r="D684" s="51"/>
      <c r="E684" s="51"/>
      <c r="F684" s="52"/>
      <c r="G684" s="52"/>
      <c r="H684" s="51"/>
      <c r="I684" s="52"/>
    </row>
    <row r="685" spans="1:9" x14ac:dyDescent="0.25">
      <c r="A685" s="51"/>
      <c r="B685" s="52"/>
      <c r="C685" s="51"/>
      <c r="D685" s="51"/>
      <c r="E685" s="51"/>
      <c r="F685" s="52"/>
      <c r="G685" s="52"/>
      <c r="H685" s="51"/>
      <c r="I685" s="52"/>
    </row>
    <row r="686" spans="1:9" x14ac:dyDescent="0.25">
      <c r="A686" s="51"/>
      <c r="B686" s="52"/>
      <c r="C686" s="51"/>
      <c r="D686" s="51"/>
      <c r="E686" s="51"/>
      <c r="F686" s="52"/>
      <c r="G686" s="52"/>
      <c r="H686" s="51"/>
      <c r="I686" s="52"/>
    </row>
    <row r="687" spans="1:9" x14ac:dyDescent="0.25">
      <c r="A687" s="51"/>
      <c r="B687" s="52"/>
      <c r="C687" s="51"/>
      <c r="D687" s="51"/>
      <c r="E687" s="51"/>
      <c r="F687" s="52"/>
      <c r="G687" s="52"/>
      <c r="H687" s="51"/>
      <c r="I687" s="52"/>
    </row>
    <row r="688" spans="1:9" x14ac:dyDescent="0.25">
      <c r="A688" s="51"/>
      <c r="B688" s="52"/>
      <c r="C688" s="51"/>
      <c r="D688" s="51"/>
      <c r="E688" s="51"/>
      <c r="F688" s="52"/>
      <c r="G688" s="52"/>
      <c r="H688" s="51"/>
      <c r="I688" s="52"/>
    </row>
    <row r="689" spans="1:9" x14ac:dyDescent="0.25">
      <c r="A689" s="51"/>
      <c r="B689" s="52"/>
      <c r="C689" s="51"/>
      <c r="D689" s="51"/>
      <c r="E689" s="51"/>
      <c r="F689" s="52"/>
      <c r="G689" s="52"/>
      <c r="H689" s="51"/>
      <c r="I689" s="52"/>
    </row>
    <row r="690" spans="1:9" x14ac:dyDescent="0.25">
      <c r="A690" s="51"/>
      <c r="B690" s="52"/>
      <c r="C690" s="51"/>
      <c r="D690" s="51"/>
      <c r="E690" s="51"/>
      <c r="F690" s="52"/>
      <c r="G690" s="52"/>
      <c r="H690" s="51"/>
      <c r="I690" s="52"/>
    </row>
    <row r="691" spans="1:9" x14ac:dyDescent="0.25">
      <c r="A691" s="51"/>
      <c r="B691" s="52"/>
      <c r="C691" s="51"/>
      <c r="D691" s="51"/>
      <c r="E691" s="51"/>
      <c r="F691" s="52"/>
      <c r="G691" s="52"/>
      <c r="H691" s="51"/>
      <c r="I691" s="52"/>
    </row>
    <row r="692" spans="1:9" x14ac:dyDescent="0.25">
      <c r="A692" s="51"/>
      <c r="B692" s="52"/>
      <c r="C692" s="51"/>
      <c r="D692" s="51"/>
      <c r="E692" s="51"/>
      <c r="F692" s="52"/>
      <c r="G692" s="52"/>
      <c r="H692" s="51"/>
      <c r="I692" s="52"/>
    </row>
    <row r="693" spans="1:9" x14ac:dyDescent="0.25">
      <c r="A693" s="51"/>
      <c r="B693" s="52"/>
      <c r="C693" s="51"/>
      <c r="D693" s="51"/>
      <c r="E693" s="51"/>
      <c r="F693" s="52"/>
      <c r="G693" s="52"/>
      <c r="H693" s="51"/>
      <c r="I693" s="52"/>
    </row>
    <row r="694" spans="1:9" x14ac:dyDescent="0.25">
      <c r="A694" s="51"/>
      <c r="B694" s="52"/>
      <c r="C694" s="51"/>
      <c r="D694" s="51"/>
      <c r="E694" s="51"/>
      <c r="F694" s="52"/>
      <c r="G694" s="52"/>
      <c r="H694" s="51"/>
      <c r="I694" s="52"/>
    </row>
    <row r="695" spans="1:9" x14ac:dyDescent="0.25">
      <c r="A695" s="51"/>
      <c r="B695" s="52"/>
      <c r="C695" s="51"/>
      <c r="D695" s="51"/>
      <c r="E695" s="51"/>
      <c r="F695" s="52"/>
      <c r="G695" s="52"/>
      <c r="H695" s="51"/>
      <c r="I695" s="52"/>
    </row>
    <row r="696" spans="1:9" x14ac:dyDescent="0.25">
      <c r="A696" s="51"/>
      <c r="B696" s="52"/>
      <c r="C696" s="51"/>
      <c r="D696" s="51"/>
      <c r="E696" s="51"/>
      <c r="F696" s="52"/>
      <c r="G696" s="52"/>
      <c r="H696" s="51"/>
      <c r="I696" s="52"/>
    </row>
    <row r="697" spans="1:9" x14ac:dyDescent="0.25">
      <c r="A697" s="51"/>
      <c r="B697" s="52"/>
      <c r="C697" s="51"/>
      <c r="D697" s="51"/>
      <c r="E697" s="51"/>
      <c r="F697" s="52"/>
      <c r="G697" s="52"/>
      <c r="H697" s="51"/>
      <c r="I697" s="52"/>
    </row>
    <row r="698" spans="1:9" x14ac:dyDescent="0.25">
      <c r="A698" s="51"/>
      <c r="B698" s="52"/>
      <c r="C698" s="51"/>
      <c r="D698" s="51"/>
      <c r="E698" s="51"/>
      <c r="F698" s="52"/>
      <c r="G698" s="52"/>
      <c r="H698" s="51"/>
      <c r="I698" s="52"/>
    </row>
    <row r="699" spans="1:9" x14ac:dyDescent="0.25">
      <c r="A699" s="51"/>
      <c r="B699" s="52"/>
      <c r="C699" s="51"/>
      <c r="D699" s="51"/>
      <c r="E699" s="51"/>
      <c r="F699" s="52"/>
      <c r="G699" s="52"/>
      <c r="H699" s="51"/>
      <c r="I699" s="52"/>
    </row>
    <row r="700" spans="1:9" x14ac:dyDescent="0.25">
      <c r="A700" s="51"/>
      <c r="B700" s="52"/>
      <c r="C700" s="51"/>
      <c r="D700" s="51"/>
      <c r="E700" s="51"/>
      <c r="F700" s="52"/>
      <c r="G700" s="52"/>
      <c r="H700" s="51"/>
      <c r="I700" s="52"/>
    </row>
    <row r="701" spans="1:9" x14ac:dyDescent="0.25">
      <c r="A701" s="51"/>
      <c r="B701" s="52"/>
      <c r="C701" s="51"/>
      <c r="D701" s="51"/>
      <c r="E701" s="51"/>
      <c r="F701" s="52"/>
      <c r="G701" s="52"/>
      <c r="H701" s="51"/>
      <c r="I701" s="52"/>
    </row>
    <row r="702" spans="1:9" x14ac:dyDescent="0.25">
      <c r="A702" s="51"/>
      <c r="B702" s="52"/>
      <c r="C702" s="51"/>
      <c r="D702" s="51"/>
      <c r="E702" s="51"/>
      <c r="F702" s="52"/>
      <c r="G702" s="52"/>
      <c r="H702" s="51"/>
      <c r="I702" s="52"/>
    </row>
    <row r="703" spans="1:9" x14ac:dyDescent="0.25">
      <c r="A703" s="51"/>
      <c r="B703" s="52"/>
      <c r="C703" s="51"/>
      <c r="D703" s="51"/>
      <c r="E703" s="51"/>
      <c r="F703" s="52"/>
      <c r="G703" s="52"/>
      <c r="H703" s="51"/>
      <c r="I703" s="52"/>
    </row>
    <row r="704" spans="1:9" x14ac:dyDescent="0.25">
      <c r="A704" s="51"/>
      <c r="B704" s="52"/>
      <c r="C704" s="51"/>
      <c r="D704" s="51"/>
      <c r="E704" s="51"/>
      <c r="F704" s="52"/>
      <c r="G704" s="52"/>
      <c r="H704" s="51"/>
      <c r="I704" s="52"/>
    </row>
    <row r="705" spans="1:9" x14ac:dyDescent="0.25">
      <c r="A705" s="51"/>
      <c r="B705" s="52"/>
      <c r="C705" s="51"/>
      <c r="D705" s="51"/>
      <c r="E705" s="51"/>
      <c r="F705" s="52"/>
      <c r="G705" s="52"/>
      <c r="H705" s="51"/>
      <c r="I705" s="52"/>
    </row>
    <row r="706" spans="1:9" x14ac:dyDescent="0.25">
      <c r="A706" s="51"/>
      <c r="B706" s="52"/>
      <c r="C706" s="51"/>
      <c r="D706" s="51"/>
      <c r="E706" s="51"/>
      <c r="F706" s="52"/>
      <c r="G706" s="52"/>
      <c r="H706" s="51"/>
      <c r="I706" s="52"/>
    </row>
    <row r="707" spans="1:9" x14ac:dyDescent="0.25">
      <c r="A707" s="51"/>
      <c r="B707" s="52"/>
      <c r="C707" s="51"/>
      <c r="D707" s="51"/>
      <c r="E707" s="51"/>
      <c r="F707" s="52"/>
      <c r="G707" s="52"/>
      <c r="H707" s="51"/>
      <c r="I707" s="52"/>
    </row>
    <row r="708" spans="1:9" x14ac:dyDescent="0.25">
      <c r="A708" s="51"/>
      <c r="B708" s="52"/>
      <c r="C708" s="51"/>
      <c r="D708" s="51"/>
      <c r="E708" s="51"/>
      <c r="F708" s="52"/>
      <c r="G708" s="52"/>
      <c r="H708" s="51"/>
      <c r="I708" s="52"/>
    </row>
    <row r="709" spans="1:9" x14ac:dyDescent="0.25">
      <c r="A709" s="51"/>
      <c r="B709" s="52"/>
      <c r="C709" s="51"/>
      <c r="D709" s="51"/>
      <c r="E709" s="51"/>
      <c r="F709" s="52"/>
      <c r="G709" s="52"/>
      <c r="H709" s="51"/>
      <c r="I709" s="52"/>
    </row>
    <row r="710" spans="1:9" x14ac:dyDescent="0.25">
      <c r="A710" s="51"/>
      <c r="B710" s="52"/>
      <c r="C710" s="51"/>
      <c r="D710" s="51"/>
      <c r="E710" s="51"/>
      <c r="F710" s="52"/>
      <c r="G710" s="52"/>
      <c r="H710" s="51"/>
      <c r="I710" s="52"/>
    </row>
    <row r="711" spans="1:9" x14ac:dyDescent="0.25">
      <c r="A711" s="51"/>
      <c r="B711" s="52"/>
      <c r="C711" s="51"/>
      <c r="D711" s="51"/>
      <c r="E711" s="51"/>
      <c r="F711" s="52"/>
      <c r="G711" s="52"/>
      <c r="H711" s="51"/>
      <c r="I711" s="52"/>
    </row>
    <row r="712" spans="1:9" x14ac:dyDescent="0.25">
      <c r="A712" s="51"/>
      <c r="B712" s="52"/>
      <c r="C712" s="51"/>
      <c r="D712" s="51"/>
      <c r="E712" s="51"/>
      <c r="F712" s="52"/>
      <c r="G712" s="52"/>
      <c r="H712" s="51"/>
      <c r="I712" s="52"/>
    </row>
    <row r="713" spans="1:9" x14ac:dyDescent="0.25">
      <c r="A713" s="51"/>
      <c r="B713" s="52"/>
      <c r="C713" s="51"/>
      <c r="D713" s="51"/>
      <c r="E713" s="51"/>
      <c r="F713" s="52"/>
      <c r="G713" s="52"/>
      <c r="H713" s="51"/>
      <c r="I713" s="52"/>
    </row>
    <row r="714" spans="1:9" x14ac:dyDescent="0.25">
      <c r="A714" s="51"/>
      <c r="B714" s="52"/>
      <c r="C714" s="51"/>
      <c r="D714" s="51"/>
      <c r="E714" s="51"/>
      <c r="F714" s="52"/>
      <c r="G714" s="52"/>
      <c r="H714" s="51"/>
      <c r="I714" s="52"/>
    </row>
    <row r="715" spans="1:9" x14ac:dyDescent="0.25">
      <c r="A715" s="51"/>
      <c r="B715" s="52"/>
      <c r="C715" s="51"/>
      <c r="D715" s="51"/>
      <c r="E715" s="51"/>
      <c r="F715" s="52"/>
      <c r="G715" s="52"/>
      <c r="H715" s="51"/>
      <c r="I715" s="52"/>
    </row>
    <row r="716" spans="1:9" x14ac:dyDescent="0.25">
      <c r="A716" s="51"/>
      <c r="B716" s="52"/>
      <c r="C716" s="51"/>
      <c r="D716" s="51"/>
      <c r="E716" s="51"/>
      <c r="F716" s="52"/>
      <c r="G716" s="52"/>
      <c r="H716" s="51"/>
      <c r="I716" s="52"/>
    </row>
    <row r="717" spans="1:9" x14ac:dyDescent="0.25">
      <c r="A717" s="51"/>
      <c r="B717" s="52"/>
      <c r="C717" s="51"/>
      <c r="D717" s="51"/>
      <c r="E717" s="51"/>
      <c r="F717" s="52"/>
      <c r="G717" s="52"/>
      <c r="H717" s="51"/>
      <c r="I717" s="52"/>
    </row>
    <row r="718" spans="1:9" x14ac:dyDescent="0.25">
      <c r="A718" s="51"/>
      <c r="B718" s="52"/>
      <c r="C718" s="51"/>
      <c r="D718" s="51"/>
      <c r="E718" s="51"/>
      <c r="F718" s="52"/>
      <c r="G718" s="52"/>
      <c r="H718" s="51"/>
      <c r="I718" s="52"/>
    </row>
    <row r="719" spans="1:9" x14ac:dyDescent="0.25">
      <c r="A719" s="51"/>
      <c r="B719" s="52"/>
      <c r="C719" s="51"/>
      <c r="D719" s="51"/>
      <c r="E719" s="51"/>
      <c r="F719" s="52"/>
      <c r="G719" s="52"/>
      <c r="H719" s="51"/>
      <c r="I719" s="52"/>
    </row>
    <row r="720" spans="1:9" x14ac:dyDescent="0.25">
      <c r="A720" s="51"/>
      <c r="B720" s="52"/>
      <c r="C720" s="51"/>
      <c r="D720" s="51"/>
      <c r="E720" s="51"/>
      <c r="F720" s="52"/>
      <c r="G720" s="52"/>
      <c r="H720" s="51"/>
      <c r="I720" s="52"/>
    </row>
    <row r="721" spans="1:9" x14ac:dyDescent="0.25">
      <c r="A721" s="51"/>
      <c r="B721" s="52"/>
      <c r="C721" s="51"/>
      <c r="D721" s="51"/>
      <c r="E721" s="51"/>
      <c r="F721" s="52"/>
      <c r="G721" s="52"/>
      <c r="H721" s="51"/>
      <c r="I721" s="52"/>
    </row>
    <row r="722" spans="1:9" x14ac:dyDescent="0.25">
      <c r="A722" s="51"/>
      <c r="B722" s="52"/>
      <c r="C722" s="51"/>
      <c r="D722" s="51"/>
      <c r="E722" s="51"/>
      <c r="F722" s="52"/>
      <c r="G722" s="52"/>
      <c r="H722" s="51"/>
      <c r="I722" s="52"/>
    </row>
    <row r="723" spans="1:9" x14ac:dyDescent="0.25">
      <c r="A723" s="51"/>
      <c r="B723" s="52"/>
      <c r="C723" s="51"/>
      <c r="D723" s="51"/>
      <c r="E723" s="51"/>
      <c r="F723" s="52"/>
      <c r="G723" s="52"/>
      <c r="H723" s="51"/>
      <c r="I723" s="52"/>
    </row>
    <row r="724" spans="1:9" x14ac:dyDescent="0.25">
      <c r="A724" s="51"/>
      <c r="B724" s="52"/>
      <c r="C724" s="51"/>
      <c r="D724" s="51"/>
      <c r="E724" s="51"/>
      <c r="F724" s="52"/>
      <c r="G724" s="52"/>
      <c r="H724" s="51"/>
      <c r="I724" s="52"/>
    </row>
    <row r="725" spans="1:9" x14ac:dyDescent="0.25">
      <c r="A725" s="51"/>
      <c r="B725" s="52"/>
      <c r="C725" s="51"/>
      <c r="D725" s="51"/>
      <c r="E725" s="51"/>
      <c r="F725" s="52"/>
      <c r="G725" s="52"/>
      <c r="H725" s="51"/>
      <c r="I725" s="52"/>
    </row>
    <row r="726" spans="1:9" x14ac:dyDescent="0.25">
      <c r="A726" s="51"/>
      <c r="B726" s="52"/>
      <c r="C726" s="51"/>
      <c r="D726" s="51"/>
      <c r="E726" s="51"/>
      <c r="F726" s="52"/>
      <c r="G726" s="52"/>
      <c r="H726" s="51"/>
      <c r="I726" s="52"/>
    </row>
    <row r="727" spans="1:9" x14ac:dyDescent="0.25">
      <c r="A727" s="51"/>
      <c r="B727" s="52"/>
      <c r="C727" s="51"/>
      <c r="D727" s="51"/>
      <c r="E727" s="51"/>
      <c r="F727" s="52"/>
      <c r="G727" s="52"/>
      <c r="H727" s="51"/>
      <c r="I727" s="52"/>
    </row>
    <row r="728" spans="1:9" x14ac:dyDescent="0.25">
      <c r="A728" s="51"/>
      <c r="B728" s="52"/>
      <c r="C728" s="51"/>
      <c r="D728" s="51"/>
      <c r="E728" s="51"/>
      <c r="F728" s="52"/>
      <c r="G728" s="52"/>
      <c r="H728" s="51"/>
      <c r="I728" s="52"/>
    </row>
    <row r="729" spans="1:9" x14ac:dyDescent="0.25">
      <c r="A729" s="51"/>
      <c r="B729" s="52"/>
      <c r="C729" s="51"/>
      <c r="D729" s="51"/>
      <c r="E729" s="51"/>
      <c r="F729" s="52"/>
      <c r="G729" s="52"/>
      <c r="H729" s="51"/>
      <c r="I729" s="52"/>
    </row>
    <row r="730" spans="1:9" x14ac:dyDescent="0.25">
      <c r="A730" s="51"/>
      <c r="B730" s="52"/>
      <c r="C730" s="51"/>
      <c r="D730" s="51"/>
      <c r="E730" s="51"/>
      <c r="F730" s="52"/>
      <c r="G730" s="52"/>
      <c r="H730" s="51"/>
      <c r="I730" s="52"/>
    </row>
    <row r="731" spans="1:9" x14ac:dyDescent="0.25">
      <c r="A731" s="51"/>
      <c r="B731" s="52"/>
      <c r="C731" s="51"/>
      <c r="D731" s="51"/>
      <c r="E731" s="51"/>
      <c r="F731" s="52"/>
      <c r="G731" s="52"/>
      <c r="H731" s="51"/>
      <c r="I731" s="52"/>
    </row>
    <row r="732" spans="1:9" x14ac:dyDescent="0.25">
      <c r="A732" s="51"/>
      <c r="B732" s="52"/>
      <c r="C732" s="51"/>
      <c r="D732" s="51"/>
      <c r="E732" s="51"/>
      <c r="F732" s="52"/>
      <c r="G732" s="52"/>
      <c r="H732" s="51"/>
      <c r="I732" s="52"/>
    </row>
    <row r="733" spans="1:9" x14ac:dyDescent="0.25">
      <c r="A733" s="51"/>
      <c r="B733" s="52"/>
      <c r="C733" s="51"/>
      <c r="D733" s="51"/>
      <c r="E733" s="51"/>
      <c r="F733" s="52"/>
      <c r="G733" s="52"/>
      <c r="H733" s="51"/>
      <c r="I733" s="52"/>
    </row>
    <row r="734" spans="1:9" x14ac:dyDescent="0.25">
      <c r="A734" s="51"/>
      <c r="B734" s="52"/>
      <c r="C734" s="51"/>
      <c r="D734" s="51"/>
      <c r="E734" s="51"/>
      <c r="F734" s="52"/>
      <c r="G734" s="52"/>
      <c r="H734" s="51"/>
      <c r="I734" s="52"/>
    </row>
    <row r="735" spans="1:9" x14ac:dyDescent="0.25">
      <c r="A735" s="51"/>
      <c r="B735" s="52"/>
      <c r="C735" s="51"/>
      <c r="D735" s="51"/>
      <c r="E735" s="51"/>
      <c r="F735" s="52"/>
      <c r="G735" s="52"/>
      <c r="H735" s="51"/>
      <c r="I735" s="52"/>
    </row>
    <row r="736" spans="1:9" x14ac:dyDescent="0.25">
      <c r="A736" s="51"/>
      <c r="B736" s="52"/>
      <c r="C736" s="51"/>
      <c r="D736" s="51"/>
      <c r="E736" s="51"/>
      <c r="F736" s="52"/>
      <c r="G736" s="52"/>
      <c r="H736" s="51"/>
      <c r="I736" s="52"/>
    </row>
    <row r="737" spans="1:9" x14ac:dyDescent="0.25">
      <c r="A737" s="51"/>
      <c r="B737" s="52"/>
      <c r="C737" s="51"/>
      <c r="D737" s="51"/>
      <c r="E737" s="51"/>
      <c r="F737" s="52"/>
      <c r="G737" s="52"/>
      <c r="H737" s="51"/>
      <c r="I737" s="52"/>
    </row>
    <row r="738" spans="1:9" x14ac:dyDescent="0.25">
      <c r="A738" s="51"/>
      <c r="B738" s="52"/>
      <c r="C738" s="51"/>
      <c r="D738" s="51"/>
      <c r="E738" s="51"/>
      <c r="F738" s="52"/>
      <c r="G738" s="52"/>
      <c r="H738" s="51"/>
      <c r="I738" s="52"/>
    </row>
    <row r="739" spans="1:9" x14ac:dyDescent="0.25">
      <c r="A739" s="51"/>
      <c r="B739" s="52"/>
      <c r="C739" s="51"/>
      <c r="D739" s="51"/>
      <c r="E739" s="51"/>
      <c r="F739" s="52"/>
      <c r="G739" s="52"/>
      <c r="H739" s="51"/>
      <c r="I739" s="52"/>
    </row>
    <row r="740" spans="1:9" x14ac:dyDescent="0.25">
      <c r="A740" s="51"/>
      <c r="B740" s="52"/>
      <c r="C740" s="51"/>
      <c r="D740" s="51"/>
      <c r="E740" s="51"/>
      <c r="F740" s="52"/>
      <c r="G740" s="52"/>
      <c r="H740" s="51"/>
      <c r="I740" s="52"/>
    </row>
    <row r="741" spans="1:9" x14ac:dyDescent="0.25">
      <c r="A741" s="51"/>
      <c r="B741" s="52"/>
      <c r="C741" s="51"/>
      <c r="D741" s="51"/>
      <c r="E741" s="51"/>
      <c r="F741" s="52"/>
      <c r="G741" s="52"/>
      <c r="H741" s="51"/>
      <c r="I741" s="52"/>
    </row>
    <row r="742" spans="1:9" x14ac:dyDescent="0.25">
      <c r="A742" s="51"/>
      <c r="B742" s="52"/>
      <c r="C742" s="51"/>
      <c r="D742" s="51"/>
      <c r="E742" s="51"/>
      <c r="F742" s="52"/>
      <c r="G742" s="52"/>
      <c r="H742" s="51"/>
      <c r="I742" s="52"/>
    </row>
    <row r="743" spans="1:9" x14ac:dyDescent="0.25">
      <c r="A743" s="51"/>
      <c r="B743" s="52"/>
      <c r="C743" s="51"/>
      <c r="D743" s="51"/>
      <c r="E743" s="51"/>
      <c r="F743" s="52"/>
      <c r="G743" s="52"/>
      <c r="H743" s="51"/>
      <c r="I743" s="52"/>
    </row>
    <row r="744" spans="1:9" x14ac:dyDescent="0.25">
      <c r="A744" s="51"/>
      <c r="B744" s="52"/>
      <c r="C744" s="51"/>
      <c r="D744" s="51"/>
      <c r="E744" s="51"/>
      <c r="F744" s="52"/>
      <c r="G744" s="52"/>
      <c r="H744" s="51"/>
      <c r="I744" s="52"/>
    </row>
    <row r="745" spans="1:9" x14ac:dyDescent="0.25">
      <c r="A745" s="51"/>
      <c r="B745" s="52"/>
      <c r="C745" s="51"/>
      <c r="D745" s="51"/>
      <c r="E745" s="51"/>
      <c r="F745" s="52"/>
      <c r="G745" s="52"/>
      <c r="H745" s="51"/>
      <c r="I745" s="52"/>
    </row>
    <row r="746" spans="1:9" x14ac:dyDescent="0.25">
      <c r="A746" s="51"/>
      <c r="B746" s="52"/>
      <c r="C746" s="51"/>
      <c r="D746" s="51"/>
      <c r="E746" s="51"/>
      <c r="F746" s="52"/>
      <c r="G746" s="52"/>
      <c r="H746" s="51"/>
      <c r="I746" s="52"/>
    </row>
    <row r="747" spans="1:9" x14ac:dyDescent="0.25">
      <c r="A747" s="51"/>
      <c r="B747" s="52"/>
      <c r="C747" s="51"/>
      <c r="D747" s="51"/>
      <c r="E747" s="51"/>
      <c r="F747" s="52"/>
      <c r="G747" s="52"/>
      <c r="H747" s="51"/>
      <c r="I747" s="52"/>
    </row>
    <row r="748" spans="1:9" x14ac:dyDescent="0.25">
      <c r="A748" s="51"/>
      <c r="B748" s="52"/>
      <c r="C748" s="51"/>
      <c r="D748" s="51"/>
      <c r="E748" s="51"/>
      <c r="F748" s="52"/>
      <c r="G748" s="52"/>
      <c r="H748" s="51"/>
      <c r="I748" s="52"/>
    </row>
    <row r="749" spans="1:9" x14ac:dyDescent="0.25">
      <c r="A749" s="51"/>
      <c r="B749" s="52"/>
      <c r="C749" s="51"/>
      <c r="D749" s="51"/>
      <c r="E749" s="51"/>
      <c r="F749" s="52"/>
      <c r="G749" s="52"/>
      <c r="H749" s="51"/>
      <c r="I749" s="52"/>
    </row>
    <row r="750" spans="1:9" x14ac:dyDescent="0.25">
      <c r="A750" s="51"/>
      <c r="B750" s="52"/>
      <c r="C750" s="51"/>
      <c r="D750" s="51"/>
      <c r="E750" s="51"/>
      <c r="F750" s="52"/>
      <c r="G750" s="52"/>
      <c r="H750" s="51"/>
      <c r="I750" s="52"/>
    </row>
    <row r="751" spans="1:9" x14ac:dyDescent="0.25">
      <c r="A751" s="51"/>
      <c r="B751" s="52"/>
      <c r="C751" s="51"/>
      <c r="D751" s="51"/>
      <c r="E751" s="51"/>
      <c r="F751" s="52"/>
      <c r="G751" s="52"/>
      <c r="H751" s="51"/>
      <c r="I751" s="52"/>
    </row>
    <row r="752" spans="1:9" x14ac:dyDescent="0.25">
      <c r="A752" s="51"/>
      <c r="B752" s="52"/>
      <c r="C752" s="51"/>
      <c r="D752" s="51"/>
      <c r="E752" s="51"/>
      <c r="F752" s="52"/>
      <c r="G752" s="52"/>
      <c r="H752" s="51"/>
      <c r="I752" s="52"/>
    </row>
    <row r="753" spans="1:9" x14ac:dyDescent="0.25">
      <c r="A753" s="51"/>
      <c r="B753" s="52"/>
      <c r="C753" s="51"/>
      <c r="D753" s="51"/>
      <c r="E753" s="51"/>
      <c r="F753" s="52"/>
      <c r="G753" s="52"/>
      <c r="H753" s="51"/>
      <c r="I753" s="52"/>
    </row>
    <row r="754" spans="1:9" x14ac:dyDescent="0.25">
      <c r="A754" s="51"/>
      <c r="B754" s="52"/>
      <c r="C754" s="51"/>
      <c r="D754" s="51"/>
      <c r="E754" s="51"/>
      <c r="F754" s="52"/>
      <c r="G754" s="52"/>
      <c r="H754" s="51"/>
      <c r="I754" s="52"/>
    </row>
    <row r="755" spans="1:9" x14ac:dyDescent="0.25">
      <c r="A755" s="51"/>
      <c r="B755" s="52"/>
      <c r="C755" s="51"/>
      <c r="D755" s="51"/>
      <c r="E755" s="51"/>
      <c r="F755" s="52"/>
      <c r="G755" s="52"/>
      <c r="H755" s="51"/>
      <c r="I755" s="52"/>
    </row>
    <row r="756" spans="1:9" x14ac:dyDescent="0.25">
      <c r="A756" s="51"/>
      <c r="B756" s="52"/>
      <c r="C756" s="51"/>
      <c r="D756" s="51"/>
      <c r="E756" s="51"/>
      <c r="F756" s="52"/>
      <c r="G756" s="52"/>
      <c r="H756" s="51"/>
      <c r="I756" s="52"/>
    </row>
    <row r="757" spans="1:9" x14ac:dyDescent="0.25">
      <c r="A757" s="51"/>
      <c r="B757" s="52"/>
      <c r="C757" s="51"/>
      <c r="D757" s="51"/>
      <c r="E757" s="51"/>
      <c r="F757" s="52"/>
      <c r="G757" s="52"/>
      <c r="H757" s="51"/>
      <c r="I757" s="52"/>
    </row>
    <row r="758" spans="1:9" x14ac:dyDescent="0.25">
      <c r="A758" s="51"/>
      <c r="B758" s="52"/>
      <c r="C758" s="51"/>
      <c r="D758" s="51"/>
      <c r="E758" s="51"/>
      <c r="F758" s="52"/>
      <c r="G758" s="52"/>
      <c r="H758" s="51"/>
      <c r="I758" s="52"/>
    </row>
    <row r="759" spans="1:9" x14ac:dyDescent="0.25">
      <c r="A759" s="51"/>
      <c r="B759" s="52"/>
      <c r="C759" s="51"/>
      <c r="D759" s="51"/>
      <c r="E759" s="51"/>
      <c r="F759" s="52"/>
      <c r="G759" s="52"/>
      <c r="H759" s="51"/>
      <c r="I759" s="52"/>
    </row>
    <row r="760" spans="1:9" x14ac:dyDescent="0.25">
      <c r="A760" s="51"/>
      <c r="B760" s="52"/>
      <c r="C760" s="51"/>
      <c r="D760" s="51"/>
      <c r="E760" s="51"/>
      <c r="F760" s="52"/>
      <c r="G760" s="52"/>
      <c r="H760" s="51"/>
      <c r="I760" s="52"/>
    </row>
    <row r="761" spans="1:9" x14ac:dyDescent="0.25">
      <c r="A761" s="51"/>
      <c r="B761" s="52"/>
      <c r="C761" s="51"/>
      <c r="D761" s="51"/>
      <c r="E761" s="51"/>
      <c r="F761" s="52"/>
      <c r="G761" s="52"/>
      <c r="H761" s="51"/>
      <c r="I761" s="52"/>
    </row>
    <row r="762" spans="1:9" x14ac:dyDescent="0.25">
      <c r="A762" s="51"/>
      <c r="B762" s="52"/>
      <c r="C762" s="51"/>
      <c r="D762" s="51"/>
      <c r="E762" s="51"/>
      <c r="F762" s="52"/>
      <c r="G762" s="52"/>
      <c r="H762" s="51"/>
      <c r="I762" s="52"/>
    </row>
    <row r="763" spans="1:9" x14ac:dyDescent="0.25">
      <c r="A763" s="51"/>
      <c r="B763" s="52"/>
      <c r="C763" s="51"/>
      <c r="D763" s="51"/>
      <c r="E763" s="51"/>
      <c r="F763" s="52"/>
      <c r="G763" s="52"/>
      <c r="H763" s="51"/>
      <c r="I763" s="52"/>
    </row>
    <row r="764" spans="1:9" x14ac:dyDescent="0.25">
      <c r="A764" s="51"/>
      <c r="B764" s="52"/>
      <c r="C764" s="51"/>
      <c r="D764" s="51"/>
      <c r="E764" s="51"/>
      <c r="F764" s="52"/>
      <c r="G764" s="52"/>
      <c r="H764" s="51"/>
      <c r="I764" s="52"/>
    </row>
    <row r="765" spans="1:9" x14ac:dyDescent="0.25">
      <c r="A765" s="51"/>
      <c r="B765" s="52"/>
      <c r="C765" s="51"/>
      <c r="D765" s="51"/>
      <c r="E765" s="51"/>
      <c r="F765" s="52"/>
      <c r="G765" s="52"/>
      <c r="H765" s="51"/>
      <c r="I765" s="52"/>
    </row>
    <row r="766" spans="1:9" x14ac:dyDescent="0.25">
      <c r="A766" s="51"/>
      <c r="B766" s="52"/>
      <c r="C766" s="51"/>
      <c r="D766" s="51"/>
      <c r="E766" s="51"/>
      <c r="F766" s="52"/>
      <c r="G766" s="52"/>
      <c r="H766" s="51"/>
      <c r="I766" s="52"/>
    </row>
    <row r="767" spans="1:9" x14ac:dyDescent="0.25">
      <c r="A767" s="51"/>
      <c r="B767" s="52"/>
      <c r="C767" s="51"/>
      <c r="D767" s="51"/>
      <c r="E767" s="51"/>
      <c r="F767" s="52"/>
      <c r="G767" s="52"/>
      <c r="H767" s="51"/>
      <c r="I767" s="52"/>
    </row>
    <row r="768" spans="1:9" x14ac:dyDescent="0.25">
      <c r="A768" s="51"/>
      <c r="B768" s="52"/>
      <c r="C768" s="51"/>
      <c r="D768" s="51"/>
      <c r="E768" s="51"/>
      <c r="F768" s="52"/>
      <c r="G768" s="52"/>
      <c r="H768" s="51"/>
      <c r="I768" s="52"/>
    </row>
    <row r="769" spans="1:9" x14ac:dyDescent="0.25">
      <c r="A769" s="51"/>
      <c r="B769" s="52"/>
      <c r="C769" s="51"/>
      <c r="D769" s="51"/>
      <c r="E769" s="51"/>
      <c r="F769" s="52"/>
      <c r="G769" s="52"/>
      <c r="H769" s="51"/>
      <c r="I769" s="52"/>
    </row>
    <row r="770" spans="1:9" x14ac:dyDescent="0.25">
      <c r="A770" s="51"/>
      <c r="B770" s="52"/>
      <c r="C770" s="51"/>
      <c r="D770" s="51"/>
      <c r="E770" s="51"/>
      <c r="F770" s="52"/>
      <c r="G770" s="52"/>
      <c r="H770" s="51"/>
      <c r="I770" s="52"/>
    </row>
    <row r="771" spans="1:9" x14ac:dyDescent="0.25">
      <c r="A771" s="51"/>
      <c r="B771" s="52"/>
      <c r="C771" s="51"/>
      <c r="D771" s="51"/>
      <c r="E771" s="51"/>
      <c r="F771" s="52"/>
      <c r="G771" s="52"/>
      <c r="H771" s="51"/>
      <c r="I771" s="52"/>
    </row>
    <row r="772" spans="1:9" x14ac:dyDescent="0.25">
      <c r="A772" s="51"/>
      <c r="B772" s="52"/>
      <c r="C772" s="51"/>
      <c r="D772" s="51"/>
      <c r="E772" s="51"/>
      <c r="F772" s="52"/>
      <c r="G772" s="52"/>
      <c r="H772" s="51"/>
      <c r="I772" s="52"/>
    </row>
    <row r="773" spans="1:9" x14ac:dyDescent="0.25">
      <c r="A773" s="51"/>
      <c r="B773" s="52"/>
      <c r="C773" s="51"/>
      <c r="D773" s="51"/>
      <c r="E773" s="51"/>
      <c r="F773" s="52"/>
      <c r="G773" s="52"/>
      <c r="H773" s="51"/>
      <c r="I773" s="52"/>
    </row>
    <row r="774" spans="1:9" x14ac:dyDescent="0.25">
      <c r="A774" s="51"/>
      <c r="B774" s="52"/>
      <c r="C774" s="51"/>
      <c r="D774" s="51"/>
      <c r="E774" s="51"/>
      <c r="F774" s="52"/>
      <c r="G774" s="52"/>
      <c r="H774" s="51"/>
      <c r="I774" s="52"/>
    </row>
    <row r="775" spans="1:9" x14ac:dyDescent="0.25">
      <c r="A775" s="51"/>
      <c r="B775" s="52"/>
      <c r="C775" s="51"/>
      <c r="D775" s="51"/>
      <c r="E775" s="51"/>
      <c r="F775" s="52"/>
      <c r="G775" s="52"/>
      <c r="H775" s="51"/>
      <c r="I775" s="52"/>
    </row>
    <row r="776" spans="1:9" x14ac:dyDescent="0.25">
      <c r="A776" s="51"/>
      <c r="B776" s="52"/>
      <c r="C776" s="51"/>
      <c r="D776" s="51"/>
      <c r="E776" s="51"/>
      <c r="F776" s="52"/>
      <c r="G776" s="52"/>
      <c r="H776" s="51"/>
      <c r="I776" s="52"/>
    </row>
    <row r="777" spans="1:9" x14ac:dyDescent="0.25">
      <c r="A777" s="51"/>
      <c r="B777" s="52"/>
      <c r="C777" s="51"/>
      <c r="D777" s="51"/>
      <c r="E777" s="51"/>
      <c r="F777" s="52"/>
      <c r="G777" s="52"/>
      <c r="H777" s="51"/>
      <c r="I777" s="52"/>
    </row>
    <row r="778" spans="1:9" x14ac:dyDescent="0.25">
      <c r="A778" s="51"/>
      <c r="B778" s="52"/>
      <c r="C778" s="51"/>
      <c r="D778" s="51"/>
      <c r="E778" s="51"/>
      <c r="F778" s="52"/>
      <c r="G778" s="52"/>
      <c r="H778" s="51"/>
      <c r="I778" s="52"/>
    </row>
    <row r="779" spans="1:9" x14ac:dyDescent="0.25">
      <c r="A779" s="51"/>
      <c r="B779" s="52"/>
      <c r="C779" s="51"/>
      <c r="D779" s="51"/>
      <c r="E779" s="51"/>
      <c r="F779" s="52"/>
      <c r="G779" s="52"/>
      <c r="H779" s="51"/>
      <c r="I779" s="52"/>
    </row>
    <row r="780" spans="1:9" x14ac:dyDescent="0.25">
      <c r="A780" s="51"/>
      <c r="B780" s="52"/>
      <c r="C780" s="51"/>
      <c r="D780" s="51"/>
      <c r="E780" s="51"/>
      <c r="F780" s="52"/>
      <c r="G780" s="52"/>
      <c r="H780" s="51"/>
      <c r="I780" s="52"/>
    </row>
    <row r="781" spans="1:9" x14ac:dyDescent="0.25">
      <c r="A781" s="51"/>
      <c r="B781" s="52"/>
      <c r="C781" s="51"/>
      <c r="D781" s="51"/>
      <c r="E781" s="51"/>
      <c r="F781" s="52"/>
      <c r="G781" s="52"/>
      <c r="H781" s="51"/>
      <c r="I781" s="52"/>
    </row>
    <row r="782" spans="1:9" x14ac:dyDescent="0.25">
      <c r="A782" s="51"/>
      <c r="B782" s="52"/>
      <c r="C782" s="51"/>
      <c r="D782" s="51"/>
      <c r="E782" s="51"/>
      <c r="F782" s="52"/>
      <c r="G782" s="52"/>
      <c r="H782" s="51"/>
      <c r="I782" s="52"/>
    </row>
    <row r="783" spans="1:9" x14ac:dyDescent="0.25">
      <c r="A783" s="51"/>
      <c r="B783" s="52"/>
      <c r="C783" s="51"/>
      <c r="D783" s="51"/>
      <c r="E783" s="51"/>
      <c r="F783" s="52"/>
      <c r="G783" s="52"/>
      <c r="H783" s="51"/>
      <c r="I783" s="52"/>
    </row>
    <row r="784" spans="1:9" x14ac:dyDescent="0.25">
      <c r="A784" s="51"/>
      <c r="B784" s="52"/>
      <c r="C784" s="51"/>
      <c r="D784" s="51"/>
      <c r="E784" s="51"/>
      <c r="F784" s="52"/>
      <c r="G784" s="52"/>
      <c r="H784" s="51"/>
      <c r="I784" s="52"/>
    </row>
    <row r="785" spans="1:9" x14ac:dyDescent="0.25">
      <c r="A785" s="51"/>
      <c r="B785" s="52"/>
      <c r="C785" s="51"/>
      <c r="D785" s="51"/>
      <c r="E785" s="51"/>
      <c r="F785" s="52"/>
      <c r="G785" s="52"/>
      <c r="H785" s="51"/>
      <c r="I785" s="52"/>
    </row>
    <row r="786" spans="1:9" x14ac:dyDescent="0.25">
      <c r="A786" s="51"/>
      <c r="B786" s="52"/>
      <c r="C786" s="51"/>
      <c r="D786" s="51"/>
      <c r="E786" s="51"/>
      <c r="F786" s="52"/>
      <c r="G786" s="52"/>
      <c r="H786" s="51"/>
      <c r="I786" s="52"/>
    </row>
    <row r="787" spans="1:9" x14ac:dyDescent="0.25">
      <c r="A787" s="51"/>
      <c r="B787" s="52"/>
      <c r="C787" s="51"/>
      <c r="D787" s="51"/>
      <c r="E787" s="51"/>
      <c r="F787" s="52"/>
      <c r="G787" s="52"/>
      <c r="H787" s="51"/>
      <c r="I787" s="52"/>
    </row>
    <row r="788" spans="1:9" x14ac:dyDescent="0.25">
      <c r="A788" s="51"/>
      <c r="B788" s="52"/>
      <c r="C788" s="51"/>
      <c r="D788" s="51"/>
      <c r="E788" s="51"/>
      <c r="F788" s="52"/>
      <c r="G788" s="52"/>
      <c r="H788" s="51"/>
      <c r="I788" s="52"/>
    </row>
    <row r="789" spans="1:9" x14ac:dyDescent="0.25">
      <c r="A789" s="51"/>
      <c r="B789" s="52"/>
      <c r="C789" s="51"/>
      <c r="D789" s="51"/>
      <c r="E789" s="51"/>
      <c r="F789" s="52"/>
      <c r="G789" s="52"/>
      <c r="H789" s="51"/>
      <c r="I789" s="52"/>
    </row>
    <row r="790" spans="1:9" x14ac:dyDescent="0.25">
      <c r="A790" s="51"/>
      <c r="B790" s="52"/>
      <c r="C790" s="51"/>
      <c r="D790" s="51"/>
      <c r="E790" s="51"/>
      <c r="F790" s="52"/>
      <c r="G790" s="52"/>
      <c r="H790" s="51"/>
      <c r="I790" s="52"/>
    </row>
    <row r="791" spans="1:9" x14ac:dyDescent="0.25">
      <c r="A791" s="51"/>
      <c r="B791" s="52"/>
      <c r="C791" s="51"/>
      <c r="D791" s="51"/>
      <c r="E791" s="51"/>
      <c r="F791" s="52"/>
      <c r="G791" s="52"/>
      <c r="H791" s="51"/>
      <c r="I791" s="52"/>
    </row>
    <row r="792" spans="1:9" x14ac:dyDescent="0.25">
      <c r="A792" s="51"/>
      <c r="B792" s="52"/>
      <c r="C792" s="51"/>
      <c r="D792" s="51"/>
      <c r="E792" s="51"/>
      <c r="F792" s="52"/>
      <c r="G792" s="52"/>
      <c r="H792" s="51"/>
      <c r="I792" s="52"/>
    </row>
    <row r="793" spans="1:9" x14ac:dyDescent="0.25">
      <c r="A793" s="51"/>
      <c r="B793" s="52"/>
      <c r="C793" s="51"/>
      <c r="D793" s="51"/>
      <c r="E793" s="51"/>
      <c r="F793" s="52"/>
      <c r="G793" s="52"/>
      <c r="H793" s="51"/>
      <c r="I793" s="52"/>
    </row>
    <row r="794" spans="1:9" x14ac:dyDescent="0.25">
      <c r="A794" s="51"/>
      <c r="B794" s="52"/>
      <c r="C794" s="51"/>
      <c r="D794" s="51"/>
      <c r="E794" s="51"/>
      <c r="F794" s="52"/>
      <c r="G794" s="52"/>
      <c r="H794" s="51"/>
      <c r="I794" s="52"/>
    </row>
    <row r="795" spans="1:9" x14ac:dyDescent="0.25">
      <c r="A795" s="51"/>
      <c r="B795" s="52"/>
      <c r="C795" s="51"/>
      <c r="D795" s="51"/>
      <c r="E795" s="51"/>
      <c r="F795" s="52"/>
      <c r="G795" s="52"/>
      <c r="H795" s="51"/>
      <c r="I795" s="52"/>
    </row>
    <row r="796" spans="1:9" x14ac:dyDescent="0.25">
      <c r="A796" s="51"/>
      <c r="B796" s="52"/>
      <c r="C796" s="51"/>
      <c r="D796" s="51"/>
      <c r="E796" s="51"/>
      <c r="F796" s="52"/>
      <c r="G796" s="52"/>
      <c r="H796" s="51"/>
      <c r="I796" s="52"/>
    </row>
    <row r="797" spans="1:9" x14ac:dyDescent="0.25">
      <c r="A797" s="51"/>
      <c r="B797" s="52"/>
      <c r="C797" s="51"/>
      <c r="D797" s="51"/>
      <c r="E797" s="51"/>
      <c r="F797" s="52"/>
      <c r="G797" s="52"/>
      <c r="H797" s="51"/>
      <c r="I797" s="52"/>
    </row>
    <row r="798" spans="1:9" x14ac:dyDescent="0.25">
      <c r="A798" s="51"/>
      <c r="B798" s="52"/>
      <c r="C798" s="51"/>
      <c r="D798" s="51"/>
      <c r="E798" s="51"/>
      <c r="F798" s="52"/>
      <c r="G798" s="52"/>
      <c r="H798" s="51"/>
      <c r="I798" s="52"/>
    </row>
    <row r="799" spans="1:9" x14ac:dyDescent="0.25">
      <c r="A799" s="51"/>
      <c r="B799" s="52"/>
      <c r="C799" s="51"/>
      <c r="D799" s="51"/>
      <c r="E799" s="51"/>
      <c r="F799" s="52"/>
      <c r="G799" s="52"/>
      <c r="H799" s="51"/>
      <c r="I799" s="52"/>
    </row>
    <row r="800" spans="1:9" x14ac:dyDescent="0.25">
      <c r="A800" s="51"/>
      <c r="B800" s="52"/>
      <c r="C800" s="51"/>
      <c r="D800" s="51"/>
      <c r="E800" s="51"/>
      <c r="F800" s="52"/>
      <c r="G800" s="52"/>
      <c r="H800" s="51"/>
      <c r="I800" s="52"/>
    </row>
    <row r="801" spans="1:9" x14ac:dyDescent="0.25">
      <c r="A801" s="51"/>
      <c r="B801" s="52"/>
      <c r="C801" s="51"/>
      <c r="D801" s="51"/>
      <c r="E801" s="51"/>
      <c r="F801" s="52"/>
      <c r="G801" s="52"/>
      <c r="H801" s="51"/>
      <c r="I801" s="52"/>
    </row>
    <row r="802" spans="1:9" x14ac:dyDescent="0.25">
      <c r="A802" s="51"/>
      <c r="B802" s="52"/>
      <c r="C802" s="51"/>
      <c r="D802" s="51"/>
      <c r="E802" s="51"/>
      <c r="F802" s="52"/>
      <c r="G802" s="52"/>
      <c r="H802" s="51"/>
      <c r="I802" s="52"/>
    </row>
    <row r="803" spans="1:9" x14ac:dyDescent="0.25">
      <c r="A803" s="51"/>
      <c r="B803" s="52"/>
      <c r="C803" s="51"/>
      <c r="D803" s="51"/>
      <c r="E803" s="51"/>
      <c r="F803" s="52"/>
      <c r="G803" s="52"/>
      <c r="H803" s="51"/>
      <c r="I803" s="52"/>
    </row>
    <row r="804" spans="1:9" x14ac:dyDescent="0.25">
      <c r="A804" s="51"/>
      <c r="B804" s="52"/>
      <c r="C804" s="51"/>
      <c r="D804" s="51"/>
      <c r="E804" s="51"/>
      <c r="F804" s="52"/>
      <c r="G804" s="52"/>
      <c r="H804" s="51"/>
      <c r="I804" s="52"/>
    </row>
    <row r="805" spans="1:9" x14ac:dyDescent="0.25">
      <c r="A805" s="51"/>
      <c r="B805" s="52"/>
      <c r="C805" s="51"/>
      <c r="D805" s="51"/>
      <c r="E805" s="51"/>
      <c r="F805" s="52"/>
      <c r="G805" s="52"/>
      <c r="H805" s="51"/>
      <c r="I805" s="52"/>
    </row>
    <row r="806" spans="1:9" x14ac:dyDescent="0.25">
      <c r="A806" s="51"/>
      <c r="B806" s="52"/>
      <c r="C806" s="51"/>
      <c r="D806" s="51"/>
      <c r="E806" s="51"/>
      <c r="F806" s="52"/>
      <c r="G806" s="52"/>
      <c r="H806" s="51"/>
      <c r="I806" s="52"/>
    </row>
    <row r="807" spans="1:9" x14ac:dyDescent="0.25">
      <c r="A807" s="51"/>
      <c r="B807" s="52"/>
      <c r="C807" s="51"/>
      <c r="D807" s="51"/>
      <c r="E807" s="51"/>
      <c r="F807" s="52"/>
      <c r="G807" s="52"/>
      <c r="H807" s="51"/>
      <c r="I807" s="52"/>
    </row>
    <row r="808" spans="1:9" x14ac:dyDescent="0.25">
      <c r="A808" s="51"/>
      <c r="B808" s="52"/>
      <c r="C808" s="51"/>
      <c r="D808" s="51"/>
      <c r="E808" s="51"/>
      <c r="F808" s="52"/>
      <c r="G808" s="52"/>
      <c r="H808" s="51"/>
      <c r="I808" s="52"/>
    </row>
    <row r="809" spans="1:9" x14ac:dyDescent="0.25">
      <c r="A809" s="51"/>
      <c r="B809" s="52"/>
      <c r="C809" s="51"/>
      <c r="D809" s="51"/>
      <c r="E809" s="51"/>
      <c r="F809" s="52"/>
      <c r="G809" s="52"/>
      <c r="H809" s="51"/>
      <c r="I809" s="52"/>
    </row>
    <row r="810" spans="1:9" x14ac:dyDescent="0.25">
      <c r="A810" s="51"/>
      <c r="B810" s="52"/>
      <c r="C810" s="51"/>
      <c r="D810" s="51"/>
      <c r="E810" s="51"/>
      <c r="F810" s="52"/>
      <c r="G810" s="52"/>
      <c r="H810" s="51"/>
      <c r="I810" s="52"/>
    </row>
    <row r="811" spans="1:9" x14ac:dyDescent="0.25">
      <c r="A811" s="51"/>
      <c r="B811" s="52"/>
      <c r="C811" s="51"/>
      <c r="D811" s="51"/>
      <c r="E811" s="51"/>
      <c r="F811" s="52"/>
      <c r="G811" s="52"/>
      <c r="H811" s="51"/>
      <c r="I811" s="52"/>
    </row>
    <row r="812" spans="1:9" x14ac:dyDescent="0.25">
      <c r="A812" s="51"/>
      <c r="B812" s="52"/>
      <c r="C812" s="51"/>
      <c r="D812" s="51"/>
      <c r="E812" s="51"/>
      <c r="F812" s="52"/>
      <c r="G812" s="52"/>
      <c r="H812" s="51"/>
      <c r="I812" s="52"/>
    </row>
    <row r="813" spans="1:9" x14ac:dyDescent="0.25">
      <c r="A813" s="51"/>
      <c r="B813" s="52"/>
      <c r="C813" s="51"/>
      <c r="D813" s="51"/>
      <c r="E813" s="51"/>
      <c r="F813" s="52"/>
      <c r="G813" s="52"/>
      <c r="H813" s="51"/>
      <c r="I813" s="52"/>
    </row>
    <row r="814" spans="1:9" x14ac:dyDescent="0.25">
      <c r="A814" s="51"/>
      <c r="B814" s="52"/>
      <c r="C814" s="51"/>
      <c r="D814" s="51"/>
      <c r="E814" s="51"/>
      <c r="F814" s="52"/>
      <c r="G814" s="52"/>
      <c r="H814" s="51"/>
      <c r="I814" s="52"/>
    </row>
    <row r="815" spans="1:9" x14ac:dyDescent="0.25">
      <c r="A815" s="51"/>
      <c r="B815" s="52"/>
      <c r="C815" s="51"/>
      <c r="D815" s="51"/>
      <c r="E815" s="51"/>
      <c r="F815" s="52"/>
      <c r="G815" s="52"/>
      <c r="H815" s="51"/>
      <c r="I815" s="52"/>
    </row>
    <row r="816" spans="1:9" x14ac:dyDescent="0.25">
      <c r="A816" s="51"/>
      <c r="B816" s="52"/>
      <c r="C816" s="51"/>
      <c r="D816" s="51"/>
      <c r="E816" s="51"/>
      <c r="F816" s="52"/>
      <c r="G816" s="52"/>
      <c r="H816" s="51"/>
      <c r="I816" s="52"/>
    </row>
    <row r="817" spans="1:9" x14ac:dyDescent="0.25">
      <c r="A817" s="51"/>
      <c r="B817" s="52"/>
      <c r="C817" s="51"/>
      <c r="D817" s="51"/>
      <c r="E817" s="51"/>
      <c r="F817" s="52"/>
      <c r="G817" s="52"/>
      <c r="H817" s="51"/>
      <c r="I817" s="52"/>
    </row>
    <row r="818" spans="1:9" x14ac:dyDescent="0.25">
      <c r="A818" s="51"/>
      <c r="B818" s="52"/>
      <c r="C818" s="51"/>
      <c r="D818" s="51"/>
      <c r="E818" s="51"/>
      <c r="F818" s="52"/>
      <c r="G818" s="52"/>
      <c r="H818" s="51"/>
      <c r="I818" s="52"/>
    </row>
    <row r="819" spans="1:9" x14ac:dyDescent="0.25">
      <c r="A819" s="51"/>
      <c r="B819" s="52"/>
      <c r="C819" s="51"/>
      <c r="D819" s="51"/>
      <c r="E819" s="51"/>
      <c r="F819" s="52"/>
      <c r="G819" s="52"/>
      <c r="H819" s="51"/>
      <c r="I819" s="52"/>
    </row>
    <row r="820" spans="1:9" x14ac:dyDescent="0.25">
      <c r="A820" s="51"/>
      <c r="B820" s="52"/>
      <c r="C820" s="51"/>
      <c r="D820" s="51"/>
      <c r="E820" s="51"/>
      <c r="F820" s="52"/>
      <c r="G820" s="52"/>
      <c r="H820" s="51"/>
      <c r="I820" s="52"/>
    </row>
    <row r="821" spans="1:9" x14ac:dyDescent="0.25">
      <c r="A821" s="51"/>
      <c r="B821" s="52"/>
      <c r="C821" s="51"/>
      <c r="D821" s="51"/>
      <c r="E821" s="51"/>
      <c r="F821" s="52"/>
      <c r="G821" s="52"/>
      <c r="H821" s="51"/>
      <c r="I821" s="52"/>
    </row>
    <row r="822" spans="1:9" x14ac:dyDescent="0.25">
      <c r="A822" s="51"/>
      <c r="B822" s="52"/>
      <c r="C822" s="51"/>
      <c r="D822" s="51"/>
      <c r="E822" s="51"/>
      <c r="F822" s="52"/>
      <c r="G822" s="52"/>
      <c r="H822" s="51"/>
      <c r="I822" s="52"/>
    </row>
    <row r="823" spans="1:9" x14ac:dyDescent="0.25">
      <c r="A823" s="51"/>
      <c r="B823" s="52"/>
      <c r="C823" s="51"/>
      <c r="D823" s="51"/>
      <c r="E823" s="51"/>
      <c r="F823" s="52"/>
      <c r="G823" s="52"/>
      <c r="H823" s="51"/>
      <c r="I823" s="52"/>
    </row>
    <row r="824" spans="1:9" x14ac:dyDescent="0.25">
      <c r="A824" s="51"/>
      <c r="B824" s="52"/>
      <c r="C824" s="51"/>
      <c r="D824" s="51"/>
      <c r="E824" s="51"/>
      <c r="F824" s="52"/>
      <c r="G824" s="52"/>
      <c r="H824" s="51"/>
      <c r="I824" s="52"/>
    </row>
    <row r="825" spans="1:9" x14ac:dyDescent="0.25">
      <c r="A825" s="51"/>
      <c r="B825" s="52"/>
      <c r="C825" s="51"/>
      <c r="D825" s="51"/>
      <c r="E825" s="51"/>
      <c r="F825" s="52"/>
      <c r="G825" s="52"/>
      <c r="H825" s="51"/>
      <c r="I825" s="52"/>
    </row>
    <row r="826" spans="1:9" x14ac:dyDescent="0.25">
      <c r="A826" s="51"/>
      <c r="B826" s="52"/>
      <c r="C826" s="51"/>
      <c r="D826" s="51"/>
      <c r="E826" s="51"/>
      <c r="F826" s="52"/>
      <c r="G826" s="52"/>
      <c r="H826" s="51"/>
      <c r="I826" s="52"/>
    </row>
    <row r="827" spans="1:9" x14ac:dyDescent="0.25">
      <c r="A827" s="51"/>
      <c r="B827" s="52"/>
      <c r="C827" s="51"/>
      <c r="D827" s="51"/>
      <c r="E827" s="51"/>
      <c r="F827" s="52"/>
      <c r="G827" s="52"/>
      <c r="H827" s="51"/>
      <c r="I827" s="52"/>
    </row>
    <row r="828" spans="1:9" x14ac:dyDescent="0.25">
      <c r="A828" s="51"/>
      <c r="B828" s="52"/>
      <c r="C828" s="51"/>
      <c r="D828" s="51"/>
      <c r="E828" s="51"/>
      <c r="F828" s="52"/>
      <c r="G828" s="52"/>
      <c r="H828" s="51"/>
      <c r="I828" s="52"/>
    </row>
    <row r="829" spans="1:9" x14ac:dyDescent="0.25">
      <c r="A829" s="51"/>
      <c r="B829" s="52"/>
      <c r="C829" s="51"/>
      <c r="D829" s="51"/>
      <c r="E829" s="51"/>
      <c r="F829" s="52"/>
      <c r="G829" s="52"/>
      <c r="H829" s="51"/>
      <c r="I829" s="52"/>
    </row>
    <row r="830" spans="1:9" x14ac:dyDescent="0.25">
      <c r="A830" s="51"/>
      <c r="B830" s="52"/>
      <c r="C830" s="51"/>
      <c r="D830" s="51"/>
      <c r="E830" s="51"/>
      <c r="F830" s="52"/>
      <c r="G830" s="52"/>
      <c r="H830" s="51"/>
      <c r="I830" s="52"/>
    </row>
    <row r="831" spans="1:9" x14ac:dyDescent="0.25">
      <c r="A831" s="51"/>
      <c r="B831" s="52"/>
      <c r="C831" s="51"/>
      <c r="D831" s="51"/>
      <c r="E831" s="51"/>
      <c r="F831" s="52"/>
      <c r="G831" s="52"/>
      <c r="H831" s="51"/>
      <c r="I831" s="52"/>
    </row>
    <row r="832" spans="1:9" x14ac:dyDescent="0.25">
      <c r="A832" s="51"/>
      <c r="B832" s="52"/>
      <c r="C832" s="51"/>
      <c r="D832" s="51"/>
      <c r="E832" s="51"/>
      <c r="F832" s="52"/>
      <c r="G832" s="52"/>
      <c r="H832" s="51"/>
      <c r="I832" s="52"/>
    </row>
    <row r="833" spans="1:9" x14ac:dyDescent="0.25">
      <c r="A833" s="51"/>
      <c r="B833" s="52"/>
      <c r="C833" s="51"/>
      <c r="D833" s="51"/>
      <c r="E833" s="51"/>
      <c r="F833" s="52"/>
      <c r="G833" s="52"/>
      <c r="H833" s="51"/>
      <c r="I833" s="52"/>
    </row>
    <row r="834" spans="1:9" x14ac:dyDescent="0.25">
      <c r="A834" s="51"/>
      <c r="B834" s="52"/>
      <c r="C834" s="51"/>
      <c r="D834" s="51"/>
      <c r="E834" s="51"/>
      <c r="F834" s="52"/>
      <c r="G834" s="52"/>
      <c r="H834" s="51"/>
      <c r="I834" s="52"/>
    </row>
    <row r="835" spans="1:9" x14ac:dyDescent="0.25">
      <c r="A835" s="51"/>
      <c r="B835" s="52"/>
      <c r="C835" s="51"/>
      <c r="D835" s="51"/>
      <c r="E835" s="51"/>
      <c r="F835" s="52"/>
      <c r="G835" s="52"/>
      <c r="H835" s="51"/>
      <c r="I835" s="52"/>
    </row>
    <row r="836" spans="1:9" x14ac:dyDescent="0.25">
      <c r="A836" s="51"/>
      <c r="B836" s="52"/>
      <c r="C836" s="51"/>
      <c r="D836" s="51"/>
      <c r="E836" s="51"/>
      <c r="F836" s="52"/>
      <c r="G836" s="52"/>
      <c r="H836" s="51"/>
      <c r="I836" s="52"/>
    </row>
    <row r="837" spans="1:9" x14ac:dyDescent="0.25">
      <c r="A837" s="51"/>
      <c r="B837" s="52"/>
      <c r="C837" s="51"/>
      <c r="D837" s="51"/>
      <c r="E837" s="51"/>
      <c r="F837" s="52"/>
      <c r="G837" s="52"/>
      <c r="H837" s="51"/>
      <c r="I837" s="52"/>
    </row>
    <row r="838" spans="1:9" x14ac:dyDescent="0.25">
      <c r="A838" s="51"/>
      <c r="B838" s="52"/>
      <c r="C838" s="51"/>
      <c r="D838" s="51"/>
      <c r="E838" s="51"/>
      <c r="F838" s="52"/>
      <c r="G838" s="52"/>
      <c r="H838" s="51"/>
      <c r="I838" s="52"/>
    </row>
    <row r="839" spans="1:9" x14ac:dyDescent="0.25">
      <c r="A839" s="51"/>
      <c r="B839" s="52"/>
      <c r="C839" s="51"/>
      <c r="D839" s="51"/>
      <c r="E839" s="51"/>
      <c r="F839" s="52"/>
      <c r="G839" s="52"/>
      <c r="H839" s="51"/>
      <c r="I839" s="52"/>
    </row>
    <row r="840" spans="1:9" x14ac:dyDescent="0.25">
      <c r="A840" s="51"/>
      <c r="B840" s="52"/>
      <c r="C840" s="51"/>
      <c r="D840" s="51"/>
      <c r="E840" s="51"/>
      <c r="F840" s="52"/>
      <c r="G840" s="52"/>
      <c r="H840" s="51"/>
      <c r="I840" s="52"/>
    </row>
    <row r="841" spans="1:9" x14ac:dyDescent="0.25">
      <c r="A841" s="51"/>
      <c r="B841" s="52"/>
      <c r="C841" s="51"/>
      <c r="D841" s="51"/>
      <c r="E841" s="51"/>
      <c r="F841" s="52"/>
      <c r="G841" s="52"/>
      <c r="H841" s="51"/>
      <c r="I841" s="52"/>
    </row>
    <row r="842" spans="1:9" x14ac:dyDescent="0.25">
      <c r="A842" s="51"/>
      <c r="B842" s="52"/>
      <c r="C842" s="51"/>
      <c r="D842" s="51"/>
      <c r="E842" s="51"/>
      <c r="F842" s="52"/>
      <c r="G842" s="52"/>
      <c r="H842" s="51"/>
      <c r="I842" s="52"/>
    </row>
    <row r="843" spans="1:9" x14ac:dyDescent="0.25">
      <c r="A843" s="51"/>
      <c r="B843" s="52"/>
      <c r="C843" s="51"/>
      <c r="D843" s="51"/>
      <c r="E843" s="51"/>
      <c r="F843" s="52"/>
      <c r="G843" s="52"/>
      <c r="H843" s="51"/>
      <c r="I843" s="52"/>
    </row>
    <row r="844" spans="1:9" x14ac:dyDescent="0.25">
      <c r="A844" s="51"/>
      <c r="B844" s="52"/>
      <c r="C844" s="51"/>
      <c r="D844" s="51"/>
      <c r="E844" s="51"/>
      <c r="F844" s="52"/>
      <c r="G844" s="52"/>
      <c r="H844" s="51"/>
      <c r="I844" s="52"/>
    </row>
    <row r="845" spans="1:9" x14ac:dyDescent="0.25">
      <c r="A845" s="51"/>
      <c r="B845" s="52"/>
      <c r="C845" s="51"/>
      <c r="D845" s="51"/>
      <c r="E845" s="51"/>
      <c r="F845" s="52"/>
      <c r="G845" s="52"/>
      <c r="H845" s="51"/>
      <c r="I845" s="52"/>
    </row>
    <row r="846" spans="1:9" x14ac:dyDescent="0.25">
      <c r="A846" s="51"/>
      <c r="B846" s="52"/>
      <c r="C846" s="51"/>
      <c r="D846" s="51"/>
      <c r="E846" s="51"/>
      <c r="F846" s="52"/>
      <c r="G846" s="52"/>
      <c r="H846" s="51"/>
      <c r="I846" s="52"/>
    </row>
    <row r="847" spans="1:9" x14ac:dyDescent="0.25">
      <c r="A847" s="51"/>
      <c r="B847" s="52"/>
      <c r="C847" s="51"/>
      <c r="D847" s="51"/>
      <c r="E847" s="51"/>
      <c r="F847" s="52"/>
      <c r="G847" s="52"/>
      <c r="H847" s="51"/>
      <c r="I847" s="52"/>
    </row>
    <row r="848" spans="1:9" x14ac:dyDescent="0.25">
      <c r="A848" s="51"/>
      <c r="B848" s="52"/>
      <c r="C848" s="51"/>
      <c r="D848" s="51"/>
      <c r="E848" s="51"/>
      <c r="F848" s="52"/>
      <c r="G848" s="52"/>
      <c r="H848" s="51"/>
      <c r="I848" s="52"/>
    </row>
    <row r="849" spans="1:9" x14ac:dyDescent="0.25">
      <c r="A849" s="51"/>
      <c r="B849" s="52"/>
      <c r="C849" s="51"/>
      <c r="D849" s="51"/>
      <c r="E849" s="51"/>
      <c r="F849" s="52"/>
      <c r="G849" s="52"/>
      <c r="H849" s="51"/>
      <c r="I849" s="52"/>
    </row>
    <row r="850" spans="1:9" x14ac:dyDescent="0.25">
      <c r="A850" s="51"/>
      <c r="B850" s="52"/>
      <c r="C850" s="51"/>
      <c r="D850" s="51"/>
      <c r="E850" s="51"/>
      <c r="F850" s="52"/>
      <c r="G850" s="52"/>
      <c r="H850" s="51"/>
      <c r="I850" s="52"/>
    </row>
    <row r="851" spans="1:9" x14ac:dyDescent="0.25">
      <c r="A851" s="51"/>
      <c r="B851" s="52"/>
      <c r="C851" s="51"/>
      <c r="D851" s="51"/>
      <c r="E851" s="51"/>
      <c r="F851" s="52"/>
      <c r="G851" s="52"/>
      <c r="H851" s="51"/>
      <c r="I851" s="52"/>
    </row>
    <row r="852" spans="1:9" x14ac:dyDescent="0.25">
      <c r="A852" s="51"/>
      <c r="B852" s="52"/>
      <c r="C852" s="51"/>
      <c r="D852" s="51"/>
      <c r="E852" s="51"/>
      <c r="F852" s="52"/>
      <c r="G852" s="52"/>
      <c r="H852" s="51"/>
      <c r="I852" s="52"/>
    </row>
    <row r="853" spans="1:9" x14ac:dyDescent="0.25">
      <c r="A853" s="51"/>
      <c r="B853" s="52"/>
      <c r="C853" s="51"/>
      <c r="D853" s="51"/>
      <c r="E853" s="51"/>
      <c r="F853" s="52"/>
      <c r="G853" s="52"/>
      <c r="H853" s="51"/>
      <c r="I853" s="52"/>
    </row>
    <row r="854" spans="1:9" x14ac:dyDescent="0.25">
      <c r="A854" s="51"/>
      <c r="B854" s="52"/>
      <c r="C854" s="51"/>
      <c r="D854" s="51"/>
      <c r="E854" s="51"/>
      <c r="F854" s="52"/>
      <c r="G854" s="52"/>
      <c r="H854" s="51"/>
      <c r="I854" s="52"/>
    </row>
    <row r="855" spans="1:9" x14ac:dyDescent="0.25">
      <c r="A855" s="51"/>
      <c r="B855" s="52"/>
      <c r="C855" s="51"/>
      <c r="D855" s="51"/>
      <c r="E855" s="51"/>
      <c r="F855" s="52"/>
      <c r="G855" s="52"/>
      <c r="H855" s="51"/>
      <c r="I855" s="52"/>
    </row>
    <row r="856" spans="1:9" x14ac:dyDescent="0.25">
      <c r="A856" s="51"/>
      <c r="B856" s="52"/>
      <c r="C856" s="51"/>
      <c r="D856" s="51"/>
      <c r="E856" s="51"/>
      <c r="F856" s="52"/>
      <c r="G856" s="52"/>
      <c r="H856" s="51"/>
      <c r="I856" s="52"/>
    </row>
    <row r="857" spans="1:9" x14ac:dyDescent="0.25">
      <c r="A857" s="51"/>
      <c r="B857" s="52"/>
      <c r="C857" s="51"/>
      <c r="D857" s="51"/>
      <c r="E857" s="51"/>
      <c r="F857" s="52"/>
      <c r="G857" s="52"/>
      <c r="H857" s="51"/>
      <c r="I857" s="52"/>
    </row>
    <row r="858" spans="1:9" x14ac:dyDescent="0.25">
      <c r="A858" s="51"/>
      <c r="B858" s="52"/>
      <c r="C858" s="51"/>
      <c r="D858" s="51"/>
      <c r="E858" s="51"/>
      <c r="F858" s="52"/>
      <c r="G858" s="52"/>
      <c r="H858" s="51"/>
      <c r="I858" s="52"/>
    </row>
    <row r="859" spans="1:9" x14ac:dyDescent="0.25">
      <c r="A859" s="51"/>
      <c r="B859" s="52"/>
      <c r="C859" s="51"/>
      <c r="D859" s="51"/>
      <c r="E859" s="51"/>
      <c r="F859" s="52"/>
      <c r="G859" s="52"/>
      <c r="H859" s="51"/>
      <c r="I859" s="52"/>
    </row>
    <row r="860" spans="1:9" x14ac:dyDescent="0.25">
      <c r="A860" s="51"/>
      <c r="B860" s="52"/>
      <c r="C860" s="51"/>
      <c r="D860" s="51"/>
      <c r="E860" s="51"/>
      <c r="F860" s="52"/>
      <c r="G860" s="52"/>
      <c r="H860" s="51"/>
      <c r="I860" s="52"/>
    </row>
    <row r="861" spans="1:9" x14ac:dyDescent="0.25">
      <c r="A861" s="51"/>
      <c r="B861" s="52"/>
      <c r="C861" s="51"/>
      <c r="D861" s="51"/>
      <c r="E861" s="51"/>
      <c r="F861" s="52"/>
      <c r="G861" s="52"/>
      <c r="H861" s="51"/>
      <c r="I861" s="52"/>
    </row>
    <row r="862" spans="1:9" x14ac:dyDescent="0.25">
      <c r="A862" s="51"/>
      <c r="B862" s="52"/>
      <c r="C862" s="51"/>
      <c r="D862" s="51"/>
      <c r="E862" s="51"/>
      <c r="F862" s="52"/>
      <c r="G862" s="52"/>
      <c r="H862" s="51"/>
      <c r="I862" s="52"/>
    </row>
    <row r="863" spans="1:9" x14ac:dyDescent="0.25">
      <c r="A863" s="51"/>
      <c r="B863" s="52"/>
      <c r="C863" s="51"/>
      <c r="D863" s="51"/>
      <c r="E863" s="51"/>
      <c r="F863" s="52"/>
      <c r="G863" s="52"/>
      <c r="H863" s="51"/>
      <c r="I863" s="52"/>
    </row>
    <row r="864" spans="1:9" x14ac:dyDescent="0.25">
      <c r="A864" s="51"/>
      <c r="B864" s="52"/>
      <c r="C864" s="51"/>
      <c r="D864" s="51"/>
      <c r="E864" s="51"/>
      <c r="F864" s="52"/>
      <c r="G864" s="52"/>
      <c r="H864" s="51"/>
      <c r="I864" s="52"/>
    </row>
    <row r="865" spans="1:9" x14ac:dyDescent="0.25">
      <c r="A865" s="51"/>
      <c r="B865" s="52"/>
      <c r="C865" s="51"/>
      <c r="D865" s="51"/>
      <c r="E865" s="51"/>
      <c r="F865" s="52"/>
      <c r="G865" s="52"/>
      <c r="H865" s="51"/>
      <c r="I865" s="52"/>
    </row>
    <row r="866" spans="1:9" x14ac:dyDescent="0.25">
      <c r="A866" s="51"/>
      <c r="B866" s="52"/>
      <c r="C866" s="51"/>
      <c r="D866" s="51"/>
      <c r="E866" s="51"/>
      <c r="F866" s="52"/>
      <c r="G866" s="52"/>
      <c r="H866" s="51"/>
      <c r="I866" s="52"/>
    </row>
    <row r="867" spans="1:9" x14ac:dyDescent="0.25">
      <c r="A867" s="51"/>
      <c r="B867" s="52"/>
      <c r="C867" s="51"/>
      <c r="D867" s="51"/>
      <c r="E867" s="51"/>
      <c r="F867" s="52"/>
      <c r="G867" s="52"/>
      <c r="H867" s="51"/>
      <c r="I867" s="52"/>
    </row>
    <row r="868" spans="1:9" x14ac:dyDescent="0.25">
      <c r="A868" s="51"/>
      <c r="B868" s="52"/>
      <c r="C868" s="51"/>
      <c r="D868" s="51"/>
      <c r="E868" s="51"/>
      <c r="F868" s="52"/>
      <c r="G868" s="52"/>
      <c r="H868" s="51"/>
      <c r="I868" s="52"/>
    </row>
    <row r="869" spans="1:9" x14ac:dyDescent="0.25">
      <c r="A869" s="51"/>
      <c r="B869" s="52"/>
      <c r="C869" s="51"/>
      <c r="D869" s="51"/>
      <c r="E869" s="51"/>
      <c r="F869" s="52"/>
      <c r="G869" s="52"/>
      <c r="H869" s="51"/>
      <c r="I869" s="52"/>
    </row>
    <row r="870" spans="1:9" x14ac:dyDescent="0.25">
      <c r="A870" s="51"/>
      <c r="B870" s="52"/>
      <c r="C870" s="51"/>
      <c r="D870" s="51"/>
      <c r="E870" s="51"/>
      <c r="F870" s="52"/>
      <c r="G870" s="52"/>
      <c r="H870" s="51"/>
      <c r="I870" s="52"/>
    </row>
    <row r="871" spans="1:9" x14ac:dyDescent="0.25">
      <c r="A871" s="51"/>
      <c r="B871" s="52"/>
      <c r="C871" s="51"/>
      <c r="D871" s="51"/>
      <c r="E871" s="51"/>
      <c r="F871" s="52"/>
      <c r="G871" s="52"/>
      <c r="H871" s="51"/>
      <c r="I871" s="52"/>
    </row>
    <row r="872" spans="1:9" x14ac:dyDescent="0.25">
      <c r="A872" s="51"/>
      <c r="B872" s="52"/>
      <c r="C872" s="51"/>
      <c r="D872" s="51"/>
      <c r="E872" s="51"/>
      <c r="F872" s="52"/>
      <c r="G872" s="52"/>
      <c r="H872" s="51"/>
      <c r="I872" s="52"/>
    </row>
    <row r="873" spans="1:9" x14ac:dyDescent="0.25">
      <c r="A873" s="51"/>
      <c r="B873" s="52"/>
      <c r="C873" s="51"/>
      <c r="D873" s="51"/>
      <c r="E873" s="51"/>
      <c r="F873" s="52"/>
      <c r="G873" s="52"/>
      <c r="H873" s="51"/>
      <c r="I873" s="52"/>
    </row>
    <row r="874" spans="1:9" x14ac:dyDescent="0.25">
      <c r="A874" s="51"/>
      <c r="B874" s="52"/>
      <c r="C874" s="51"/>
      <c r="D874" s="51"/>
      <c r="E874" s="51"/>
      <c r="F874" s="52"/>
      <c r="G874" s="52"/>
      <c r="H874" s="51"/>
      <c r="I874" s="52"/>
    </row>
    <row r="875" spans="1:9" x14ac:dyDescent="0.25">
      <c r="A875" s="51"/>
      <c r="B875" s="52"/>
      <c r="C875" s="51"/>
      <c r="D875" s="51"/>
      <c r="E875" s="51"/>
      <c r="F875" s="52"/>
      <c r="G875" s="52"/>
      <c r="H875" s="51"/>
      <c r="I875" s="52"/>
    </row>
    <row r="876" spans="1:9" x14ac:dyDescent="0.25">
      <c r="A876" s="51"/>
      <c r="B876" s="52"/>
      <c r="C876" s="51"/>
      <c r="D876" s="51"/>
      <c r="E876" s="51"/>
      <c r="F876" s="52"/>
      <c r="G876" s="52"/>
      <c r="H876" s="51"/>
      <c r="I876" s="52"/>
    </row>
    <row r="877" spans="1:9" x14ac:dyDescent="0.25">
      <c r="A877" s="51"/>
      <c r="B877" s="52"/>
      <c r="C877" s="51"/>
      <c r="D877" s="51"/>
      <c r="E877" s="51"/>
      <c r="F877" s="52"/>
      <c r="G877" s="52"/>
      <c r="H877" s="51"/>
      <c r="I877" s="52"/>
    </row>
    <row r="878" spans="1:9" x14ac:dyDescent="0.25">
      <c r="A878" s="51"/>
      <c r="B878" s="52"/>
      <c r="C878" s="51"/>
      <c r="D878" s="51"/>
      <c r="E878" s="51"/>
      <c r="F878" s="52"/>
      <c r="G878" s="52"/>
      <c r="H878" s="51"/>
      <c r="I878" s="52"/>
    </row>
    <row r="879" spans="1:9" x14ac:dyDescent="0.25">
      <c r="A879" s="51"/>
      <c r="B879" s="52"/>
      <c r="C879" s="51"/>
      <c r="D879" s="51"/>
      <c r="E879" s="51"/>
      <c r="F879" s="52"/>
      <c r="G879" s="52"/>
      <c r="H879" s="51"/>
      <c r="I879" s="52"/>
    </row>
    <row r="880" spans="1:9" x14ac:dyDescent="0.25">
      <c r="A880" s="51"/>
      <c r="B880" s="52"/>
      <c r="C880" s="51"/>
      <c r="D880" s="51"/>
      <c r="E880" s="51"/>
      <c r="F880" s="52"/>
      <c r="G880" s="52"/>
      <c r="H880" s="51"/>
      <c r="I880" s="52"/>
    </row>
    <row r="881" spans="1:9" x14ac:dyDescent="0.25">
      <c r="A881" s="51"/>
      <c r="B881" s="52"/>
      <c r="C881" s="51"/>
      <c r="D881" s="51"/>
      <c r="E881" s="51"/>
      <c r="F881" s="52"/>
      <c r="G881" s="52"/>
      <c r="H881" s="51"/>
      <c r="I881" s="52"/>
    </row>
    <row r="882" spans="1:9" x14ac:dyDescent="0.25">
      <c r="A882" s="51"/>
      <c r="B882" s="52"/>
      <c r="C882" s="51"/>
      <c r="D882" s="51"/>
      <c r="E882" s="51"/>
      <c r="F882" s="52"/>
      <c r="G882" s="52"/>
      <c r="H882" s="51"/>
      <c r="I882" s="52"/>
    </row>
    <row r="883" spans="1:9" x14ac:dyDescent="0.25">
      <c r="A883" s="51"/>
      <c r="B883" s="52"/>
      <c r="C883" s="51"/>
      <c r="D883" s="51"/>
      <c r="E883" s="51"/>
      <c r="F883" s="52"/>
      <c r="G883" s="52"/>
      <c r="H883" s="51"/>
      <c r="I883" s="52"/>
    </row>
    <row r="884" spans="1:9" x14ac:dyDescent="0.25">
      <c r="A884" s="51"/>
      <c r="B884" s="52"/>
      <c r="C884" s="51"/>
      <c r="D884" s="51"/>
      <c r="E884" s="51"/>
      <c r="F884" s="52"/>
      <c r="G884" s="52"/>
      <c r="H884" s="51"/>
      <c r="I884" s="52"/>
    </row>
    <row r="885" spans="1:9" x14ac:dyDescent="0.25">
      <c r="A885" s="51"/>
      <c r="B885" s="52"/>
      <c r="C885" s="51"/>
      <c r="D885" s="51"/>
      <c r="E885" s="51"/>
      <c r="F885" s="52"/>
      <c r="G885" s="52"/>
      <c r="H885" s="51"/>
      <c r="I885" s="52"/>
    </row>
    <row r="886" spans="1:9" x14ac:dyDescent="0.25">
      <c r="A886" s="51"/>
      <c r="B886" s="52"/>
      <c r="C886" s="51"/>
      <c r="D886" s="51"/>
      <c r="E886" s="51"/>
      <c r="F886" s="52"/>
      <c r="G886" s="52"/>
      <c r="H886" s="51"/>
      <c r="I886" s="52"/>
    </row>
    <row r="887" spans="1:9" x14ac:dyDescent="0.25">
      <c r="A887" s="51"/>
      <c r="B887" s="52"/>
      <c r="C887" s="51"/>
      <c r="D887" s="51"/>
      <c r="E887" s="51"/>
      <c r="F887" s="52"/>
      <c r="G887" s="52"/>
      <c r="H887" s="51"/>
      <c r="I887" s="52"/>
    </row>
    <row r="888" spans="1:9" x14ac:dyDescent="0.25">
      <c r="A888" s="51"/>
      <c r="B888" s="52"/>
      <c r="C888" s="51"/>
      <c r="D888" s="51"/>
      <c r="E888" s="51"/>
      <c r="F888" s="52"/>
      <c r="G888" s="52"/>
      <c r="H888" s="51"/>
      <c r="I888" s="52"/>
    </row>
    <row r="889" spans="1:9" x14ac:dyDescent="0.25">
      <c r="A889" s="51"/>
      <c r="B889" s="52"/>
      <c r="C889" s="51"/>
      <c r="D889" s="51"/>
      <c r="E889" s="51"/>
      <c r="F889" s="52"/>
      <c r="G889" s="52"/>
      <c r="H889" s="51"/>
      <c r="I889" s="52"/>
    </row>
    <row r="890" spans="1:9" x14ac:dyDescent="0.25">
      <c r="A890" s="51"/>
      <c r="B890" s="52"/>
      <c r="C890" s="51"/>
      <c r="D890" s="51"/>
      <c r="E890" s="51"/>
      <c r="F890" s="52"/>
      <c r="G890" s="52"/>
      <c r="H890" s="51"/>
      <c r="I890" s="52"/>
    </row>
    <row r="891" spans="1:9" x14ac:dyDescent="0.25">
      <c r="A891" s="51"/>
      <c r="B891" s="52"/>
      <c r="C891" s="51"/>
      <c r="D891" s="51"/>
      <c r="E891" s="51"/>
      <c r="F891" s="52"/>
      <c r="G891" s="52"/>
      <c r="H891" s="51"/>
      <c r="I891" s="52"/>
    </row>
    <row r="892" spans="1:9" x14ac:dyDescent="0.25">
      <c r="A892" s="51"/>
      <c r="B892" s="52"/>
      <c r="C892" s="51"/>
      <c r="D892" s="51"/>
      <c r="E892" s="51"/>
      <c r="F892" s="52"/>
      <c r="G892" s="52"/>
      <c r="H892" s="51"/>
      <c r="I892" s="52"/>
    </row>
    <row r="893" spans="1:9" x14ac:dyDescent="0.25">
      <c r="A893" s="51"/>
      <c r="B893" s="52"/>
      <c r="C893" s="51"/>
      <c r="D893" s="51"/>
      <c r="E893" s="51"/>
      <c r="F893" s="52"/>
      <c r="G893" s="52"/>
      <c r="H893" s="51"/>
      <c r="I893" s="52"/>
    </row>
    <row r="894" spans="1:9" x14ac:dyDescent="0.25">
      <c r="A894" s="51"/>
      <c r="B894" s="52"/>
      <c r="C894" s="51"/>
      <c r="D894" s="51"/>
      <c r="E894" s="51"/>
      <c r="F894" s="52"/>
      <c r="G894" s="52"/>
      <c r="H894" s="51"/>
      <c r="I894" s="52"/>
    </row>
    <row r="895" spans="1:9" x14ac:dyDescent="0.25">
      <c r="A895" s="51"/>
      <c r="B895" s="52"/>
      <c r="C895" s="51"/>
      <c r="D895" s="51"/>
      <c r="E895" s="51"/>
      <c r="F895" s="52"/>
      <c r="G895" s="52"/>
      <c r="H895" s="51"/>
      <c r="I895" s="52"/>
    </row>
    <row r="896" spans="1:9" x14ac:dyDescent="0.25">
      <c r="A896" s="51"/>
      <c r="B896" s="52"/>
      <c r="C896" s="51"/>
      <c r="D896" s="51"/>
      <c r="E896" s="51"/>
      <c r="F896" s="52"/>
      <c r="G896" s="52"/>
      <c r="H896" s="51"/>
      <c r="I896" s="52"/>
    </row>
    <row r="897" spans="1:9" x14ac:dyDescent="0.25">
      <c r="A897" s="51"/>
      <c r="B897" s="52"/>
      <c r="C897" s="51"/>
      <c r="D897" s="51"/>
      <c r="E897" s="51"/>
      <c r="F897" s="52"/>
      <c r="G897" s="52"/>
      <c r="H897" s="51"/>
      <c r="I897" s="52"/>
    </row>
    <row r="898" spans="1:9" x14ac:dyDescent="0.25">
      <c r="A898" s="51"/>
      <c r="B898" s="52"/>
      <c r="C898" s="51"/>
      <c r="D898" s="51"/>
      <c r="E898" s="51"/>
      <c r="F898" s="52"/>
      <c r="G898" s="52"/>
      <c r="H898" s="51"/>
      <c r="I898" s="52"/>
    </row>
    <row r="899" spans="1:9" x14ac:dyDescent="0.25">
      <c r="A899" s="51"/>
      <c r="B899" s="52"/>
      <c r="C899" s="51"/>
      <c r="D899" s="51"/>
      <c r="E899" s="51"/>
      <c r="F899" s="52"/>
      <c r="G899" s="52"/>
      <c r="H899" s="51"/>
      <c r="I899" s="52"/>
    </row>
    <row r="900" spans="1:9" x14ac:dyDescent="0.25">
      <c r="A900" s="51"/>
      <c r="B900" s="52"/>
      <c r="C900" s="51"/>
      <c r="D900" s="51"/>
      <c r="E900" s="51"/>
      <c r="F900" s="52"/>
      <c r="G900" s="52"/>
      <c r="H900" s="51"/>
      <c r="I900" s="52"/>
    </row>
    <row r="901" spans="1:9" x14ac:dyDescent="0.25">
      <c r="A901" s="51"/>
      <c r="B901" s="52"/>
      <c r="C901" s="51"/>
      <c r="D901" s="51"/>
      <c r="E901" s="51"/>
      <c r="F901" s="52"/>
      <c r="G901" s="52"/>
      <c r="H901" s="51"/>
      <c r="I901" s="52"/>
    </row>
    <row r="902" spans="1:9" x14ac:dyDescent="0.25">
      <c r="A902" s="51"/>
      <c r="B902" s="52"/>
      <c r="C902" s="51"/>
      <c r="D902" s="51"/>
      <c r="E902" s="51"/>
      <c r="F902" s="52"/>
      <c r="G902" s="52"/>
      <c r="H902" s="51"/>
      <c r="I902" s="52"/>
    </row>
    <row r="903" spans="1:9" x14ac:dyDescent="0.25">
      <c r="A903" s="51"/>
      <c r="B903" s="52"/>
      <c r="C903" s="51"/>
      <c r="D903" s="51"/>
      <c r="E903" s="51"/>
      <c r="F903" s="52"/>
      <c r="G903" s="52"/>
      <c r="H903" s="51"/>
      <c r="I903" s="52"/>
    </row>
    <row r="904" spans="1:9" x14ac:dyDescent="0.25">
      <c r="A904" s="51"/>
      <c r="B904" s="52"/>
      <c r="C904" s="51"/>
      <c r="D904" s="51"/>
      <c r="E904" s="51"/>
      <c r="F904" s="52"/>
      <c r="G904" s="52"/>
      <c r="H904" s="51"/>
      <c r="I904" s="52"/>
    </row>
    <row r="905" spans="1:9" x14ac:dyDescent="0.25">
      <c r="A905" s="51"/>
      <c r="B905" s="52"/>
      <c r="C905" s="51"/>
      <c r="D905" s="51"/>
      <c r="E905" s="51"/>
      <c r="F905" s="52"/>
      <c r="G905" s="52"/>
      <c r="H905" s="51"/>
      <c r="I905" s="52"/>
    </row>
    <row r="906" spans="1:9" x14ac:dyDescent="0.25">
      <c r="A906" s="51"/>
      <c r="B906" s="52"/>
      <c r="C906" s="51"/>
      <c r="D906" s="51"/>
      <c r="E906" s="51"/>
      <c r="F906" s="52"/>
      <c r="G906" s="52"/>
      <c r="H906" s="51"/>
      <c r="I906" s="52"/>
    </row>
    <row r="907" spans="1:9" x14ac:dyDescent="0.25">
      <c r="A907" s="51"/>
      <c r="B907" s="52"/>
      <c r="C907" s="51"/>
      <c r="D907" s="51"/>
      <c r="E907" s="51"/>
      <c r="F907" s="52"/>
      <c r="G907" s="52"/>
      <c r="H907" s="51"/>
      <c r="I907" s="52"/>
    </row>
    <row r="908" spans="1:9" x14ac:dyDescent="0.25">
      <c r="A908" s="51"/>
      <c r="B908" s="52"/>
      <c r="C908" s="51"/>
      <c r="D908" s="51"/>
      <c r="E908" s="51"/>
      <c r="F908" s="52"/>
      <c r="G908" s="52"/>
      <c r="H908" s="51"/>
      <c r="I908" s="52"/>
    </row>
    <row r="909" spans="1:9" x14ac:dyDescent="0.25">
      <c r="A909" s="51"/>
      <c r="B909" s="52"/>
      <c r="C909" s="51"/>
      <c r="D909" s="51"/>
      <c r="E909" s="51"/>
      <c r="F909" s="52"/>
      <c r="G909" s="52"/>
      <c r="H909" s="51"/>
      <c r="I909" s="52"/>
    </row>
    <row r="910" spans="1:9" x14ac:dyDescent="0.25">
      <c r="A910" s="51"/>
      <c r="B910" s="52"/>
      <c r="C910" s="51"/>
      <c r="D910" s="51"/>
      <c r="E910" s="51"/>
      <c r="F910" s="52"/>
      <c r="G910" s="52"/>
      <c r="H910" s="51"/>
      <c r="I910" s="52"/>
    </row>
    <row r="911" spans="1:9" x14ac:dyDescent="0.25">
      <c r="A911" s="51"/>
      <c r="B911" s="52"/>
      <c r="C911" s="51"/>
      <c r="D911" s="51"/>
      <c r="E911" s="51"/>
      <c r="F911" s="52"/>
      <c r="G911" s="52"/>
      <c r="H911" s="51"/>
      <c r="I911" s="52"/>
    </row>
    <row r="912" spans="1:9" x14ac:dyDescent="0.25">
      <c r="A912" s="51"/>
      <c r="B912" s="52"/>
      <c r="C912" s="51"/>
      <c r="D912" s="51"/>
      <c r="E912" s="51"/>
      <c r="F912" s="52"/>
      <c r="G912" s="52"/>
      <c r="H912" s="51"/>
      <c r="I912" s="52"/>
    </row>
    <row r="913" spans="1:9" x14ac:dyDescent="0.25">
      <c r="A913" s="51"/>
      <c r="B913" s="52"/>
      <c r="C913" s="51"/>
      <c r="D913" s="51"/>
      <c r="E913" s="51"/>
      <c r="F913" s="52"/>
      <c r="G913" s="52"/>
      <c r="H913" s="51"/>
      <c r="I913" s="52"/>
    </row>
    <row r="914" spans="1:9" x14ac:dyDescent="0.25">
      <c r="A914" s="51"/>
      <c r="B914" s="52"/>
      <c r="C914" s="51"/>
      <c r="D914" s="51"/>
      <c r="E914" s="51"/>
      <c r="F914" s="52"/>
      <c r="G914" s="52"/>
      <c r="H914" s="51"/>
      <c r="I914" s="52"/>
    </row>
    <row r="915" spans="1:9" x14ac:dyDescent="0.25">
      <c r="A915" s="51"/>
      <c r="B915" s="52"/>
      <c r="C915" s="51"/>
      <c r="D915" s="51"/>
      <c r="E915" s="51"/>
      <c r="F915" s="52"/>
      <c r="G915" s="52"/>
      <c r="H915" s="51"/>
      <c r="I915" s="52"/>
    </row>
    <row r="916" spans="1:9" x14ac:dyDescent="0.25">
      <c r="A916" s="51"/>
      <c r="B916" s="52"/>
      <c r="C916" s="51"/>
      <c r="D916" s="51"/>
      <c r="E916" s="51"/>
      <c r="F916" s="52"/>
      <c r="G916" s="52"/>
      <c r="H916" s="51"/>
      <c r="I916" s="52"/>
    </row>
    <row r="917" spans="1:9" x14ac:dyDescent="0.25">
      <c r="A917" s="51"/>
      <c r="B917" s="52"/>
      <c r="C917" s="51"/>
      <c r="D917" s="51"/>
      <c r="E917" s="51"/>
      <c r="F917" s="52"/>
      <c r="G917" s="52"/>
      <c r="H917" s="51"/>
      <c r="I917" s="52"/>
    </row>
    <row r="918" spans="1:9" x14ac:dyDescent="0.25">
      <c r="A918" s="51"/>
      <c r="B918" s="52"/>
      <c r="C918" s="51"/>
      <c r="D918" s="51"/>
      <c r="E918" s="51"/>
      <c r="F918" s="52"/>
      <c r="G918" s="52"/>
      <c r="H918" s="51"/>
      <c r="I918" s="52"/>
    </row>
    <row r="919" spans="1:9" x14ac:dyDescent="0.25">
      <c r="A919" s="51"/>
      <c r="B919" s="52"/>
      <c r="C919" s="51"/>
      <c r="D919" s="51"/>
      <c r="E919" s="51"/>
      <c r="F919" s="52"/>
      <c r="G919" s="52"/>
      <c r="H919" s="51"/>
      <c r="I919" s="52"/>
    </row>
    <row r="920" spans="1:9" x14ac:dyDescent="0.25">
      <c r="A920" s="51"/>
      <c r="B920" s="52"/>
      <c r="C920" s="51"/>
      <c r="D920" s="51"/>
      <c r="E920" s="51"/>
      <c r="F920" s="52"/>
      <c r="G920" s="52"/>
      <c r="H920" s="51"/>
      <c r="I920" s="52"/>
    </row>
    <row r="921" spans="1:9" x14ac:dyDescent="0.25">
      <c r="A921" s="51"/>
      <c r="B921" s="52"/>
      <c r="C921" s="51"/>
      <c r="D921" s="51"/>
      <c r="E921" s="51"/>
      <c r="F921" s="52"/>
      <c r="G921" s="52"/>
      <c r="H921" s="51"/>
      <c r="I921" s="52"/>
    </row>
    <row r="922" spans="1:9" x14ac:dyDescent="0.25">
      <c r="A922" s="51"/>
      <c r="B922" s="52"/>
      <c r="C922" s="51"/>
      <c r="D922" s="51"/>
      <c r="E922" s="51"/>
      <c r="F922" s="52"/>
      <c r="G922" s="52"/>
      <c r="H922" s="51"/>
      <c r="I922" s="52"/>
    </row>
    <row r="923" spans="1:9" x14ac:dyDescent="0.25">
      <c r="A923" s="51"/>
      <c r="B923" s="52"/>
      <c r="C923" s="51"/>
      <c r="D923" s="51"/>
      <c r="E923" s="51"/>
      <c r="F923" s="52"/>
      <c r="G923" s="52"/>
      <c r="H923" s="51"/>
      <c r="I923" s="52"/>
    </row>
    <row r="924" spans="1:9" x14ac:dyDescent="0.25">
      <c r="A924" s="51"/>
      <c r="B924" s="52"/>
      <c r="C924" s="51"/>
      <c r="D924" s="51"/>
      <c r="E924" s="51"/>
      <c r="F924" s="52"/>
      <c r="G924" s="52"/>
      <c r="H924" s="51"/>
      <c r="I924" s="52"/>
    </row>
    <row r="925" spans="1:9" x14ac:dyDescent="0.25">
      <c r="A925" s="51"/>
      <c r="B925" s="52"/>
      <c r="C925" s="51"/>
      <c r="D925" s="51"/>
      <c r="E925" s="51"/>
      <c r="F925" s="52"/>
      <c r="G925" s="52"/>
      <c r="H925" s="51"/>
      <c r="I925" s="52"/>
    </row>
    <row r="926" spans="1:9" x14ac:dyDescent="0.25">
      <c r="A926" s="51"/>
      <c r="B926" s="52"/>
      <c r="C926" s="51"/>
      <c r="D926" s="51"/>
      <c r="E926" s="51"/>
      <c r="F926" s="52"/>
      <c r="G926" s="52"/>
      <c r="H926" s="51"/>
      <c r="I926" s="52"/>
    </row>
    <row r="927" spans="1:9" x14ac:dyDescent="0.25">
      <c r="A927" s="51"/>
      <c r="B927" s="52"/>
      <c r="C927" s="51"/>
      <c r="D927" s="51"/>
      <c r="E927" s="51"/>
      <c r="F927" s="52"/>
      <c r="G927" s="52"/>
      <c r="H927" s="51"/>
      <c r="I927" s="52"/>
    </row>
    <row r="928" spans="1:9" x14ac:dyDescent="0.25">
      <c r="A928" s="51"/>
      <c r="B928" s="52"/>
      <c r="C928" s="51"/>
      <c r="D928" s="51"/>
      <c r="E928" s="51"/>
      <c r="F928" s="52"/>
      <c r="G928" s="52"/>
      <c r="H928" s="51"/>
      <c r="I928" s="52"/>
    </row>
    <row r="929" spans="1:9" x14ac:dyDescent="0.25">
      <c r="A929" s="51"/>
      <c r="B929" s="52"/>
      <c r="C929" s="51"/>
      <c r="D929" s="51"/>
      <c r="E929" s="51"/>
      <c r="F929" s="52"/>
      <c r="G929" s="52"/>
      <c r="H929" s="51"/>
      <c r="I929" s="52"/>
    </row>
    <row r="930" spans="1:9" x14ac:dyDescent="0.25">
      <c r="A930" s="51"/>
      <c r="B930" s="52"/>
      <c r="C930" s="51"/>
      <c r="D930" s="51"/>
      <c r="E930" s="51"/>
      <c r="F930" s="52"/>
      <c r="G930" s="52"/>
      <c r="H930" s="51"/>
      <c r="I930" s="52"/>
    </row>
    <row r="931" spans="1:9" x14ac:dyDescent="0.25">
      <c r="A931" s="51"/>
      <c r="B931" s="52"/>
      <c r="C931" s="51"/>
      <c r="D931" s="51"/>
      <c r="E931" s="51"/>
      <c r="F931" s="52"/>
      <c r="G931" s="52"/>
      <c r="H931" s="51"/>
      <c r="I931" s="52"/>
    </row>
    <row r="932" spans="1:9" x14ac:dyDescent="0.25">
      <c r="A932" s="51"/>
      <c r="B932" s="52"/>
      <c r="C932" s="51"/>
      <c r="D932" s="51"/>
      <c r="E932" s="51"/>
      <c r="F932" s="52"/>
      <c r="G932" s="52"/>
      <c r="H932" s="51"/>
      <c r="I932" s="52"/>
    </row>
    <row r="933" spans="1:9" x14ac:dyDescent="0.25">
      <c r="A933" s="51"/>
      <c r="B933" s="52"/>
      <c r="C933" s="51"/>
      <c r="D933" s="51"/>
      <c r="E933" s="51"/>
      <c r="F933" s="52"/>
      <c r="G933" s="52"/>
      <c r="H933" s="51"/>
      <c r="I933" s="52"/>
    </row>
    <row r="934" spans="1:9" x14ac:dyDescent="0.25">
      <c r="A934" s="51"/>
      <c r="B934" s="52"/>
      <c r="C934" s="51"/>
      <c r="D934" s="51"/>
      <c r="E934" s="51"/>
      <c r="F934" s="52"/>
      <c r="G934" s="52"/>
      <c r="H934" s="51"/>
      <c r="I934" s="52"/>
    </row>
    <row r="935" spans="1:9" x14ac:dyDescent="0.25">
      <c r="A935" s="51"/>
      <c r="B935" s="52"/>
      <c r="C935" s="51"/>
      <c r="D935" s="51"/>
      <c r="E935" s="51"/>
      <c r="F935" s="52"/>
      <c r="G935" s="52"/>
      <c r="H935" s="51"/>
      <c r="I935" s="52"/>
    </row>
    <row r="936" spans="1:9" x14ac:dyDescent="0.25">
      <c r="A936" s="51"/>
      <c r="B936" s="52"/>
      <c r="C936" s="51"/>
      <c r="D936" s="51"/>
      <c r="E936" s="51"/>
      <c r="F936" s="52"/>
      <c r="G936" s="52"/>
      <c r="H936" s="51"/>
      <c r="I936" s="52"/>
    </row>
    <row r="937" spans="1:9" x14ac:dyDescent="0.25">
      <c r="A937" s="51"/>
      <c r="B937" s="52"/>
      <c r="C937" s="51"/>
      <c r="D937" s="51"/>
      <c r="E937" s="51"/>
      <c r="F937" s="52"/>
      <c r="G937" s="52"/>
      <c r="H937" s="51"/>
      <c r="I937" s="52"/>
    </row>
    <row r="938" spans="1:9" x14ac:dyDescent="0.25">
      <c r="A938" s="51"/>
      <c r="B938" s="52"/>
      <c r="C938" s="51"/>
      <c r="D938" s="51"/>
      <c r="E938" s="51"/>
      <c r="F938" s="52"/>
      <c r="G938" s="52"/>
      <c r="H938" s="51"/>
      <c r="I938" s="52"/>
    </row>
    <row r="939" spans="1:9" x14ac:dyDescent="0.25">
      <c r="A939" s="51"/>
      <c r="B939" s="52"/>
      <c r="C939" s="51"/>
      <c r="D939" s="51"/>
      <c r="E939" s="51"/>
      <c r="F939" s="52"/>
      <c r="G939" s="52"/>
      <c r="H939" s="51"/>
      <c r="I939" s="52"/>
    </row>
    <row r="940" spans="1:9" x14ac:dyDescent="0.25">
      <c r="A940" s="51"/>
      <c r="B940" s="52"/>
      <c r="C940" s="51"/>
      <c r="D940" s="51"/>
      <c r="E940" s="51"/>
      <c r="F940" s="52"/>
      <c r="G940" s="52"/>
      <c r="H940" s="51"/>
      <c r="I940" s="52"/>
    </row>
    <row r="941" spans="1:9" x14ac:dyDescent="0.25">
      <c r="A941" s="51"/>
      <c r="B941" s="52"/>
      <c r="C941" s="51"/>
      <c r="D941" s="51"/>
      <c r="E941" s="51"/>
      <c r="F941" s="52"/>
      <c r="G941" s="52"/>
      <c r="H941" s="51"/>
      <c r="I941" s="52"/>
    </row>
    <row r="942" spans="1:9" x14ac:dyDescent="0.25">
      <c r="A942" s="51"/>
      <c r="B942" s="52"/>
      <c r="C942" s="51"/>
      <c r="D942" s="51"/>
      <c r="E942" s="51"/>
      <c r="F942" s="52"/>
      <c r="G942" s="52"/>
      <c r="H942" s="51"/>
      <c r="I942" s="52"/>
    </row>
    <row r="943" spans="1:9" x14ac:dyDescent="0.25">
      <c r="A943" s="51"/>
      <c r="B943" s="52"/>
      <c r="C943" s="51"/>
      <c r="D943" s="51"/>
      <c r="E943" s="51"/>
      <c r="F943" s="52"/>
      <c r="G943" s="52"/>
      <c r="H943" s="51"/>
      <c r="I943" s="52"/>
    </row>
    <row r="944" spans="1:9" x14ac:dyDescent="0.25">
      <c r="A944" s="51"/>
      <c r="B944" s="52"/>
      <c r="C944" s="51"/>
      <c r="D944" s="51"/>
      <c r="E944" s="51"/>
      <c r="F944" s="52"/>
      <c r="G944" s="52"/>
      <c r="H944" s="51"/>
      <c r="I944" s="52"/>
    </row>
    <row r="945" spans="1:9" x14ac:dyDescent="0.25">
      <c r="A945" s="51"/>
      <c r="B945" s="52"/>
      <c r="C945" s="51"/>
      <c r="D945" s="51"/>
      <c r="E945" s="51"/>
      <c r="F945" s="52"/>
      <c r="G945" s="52"/>
      <c r="H945" s="51"/>
      <c r="I945" s="52"/>
    </row>
    <row r="946" spans="1:9" x14ac:dyDescent="0.25">
      <c r="A946" s="51"/>
      <c r="B946" s="52"/>
      <c r="C946" s="51"/>
      <c r="D946" s="51"/>
      <c r="E946" s="51"/>
      <c r="F946" s="52"/>
      <c r="G946" s="52"/>
      <c r="H946" s="51"/>
      <c r="I946" s="52"/>
    </row>
    <row r="947" spans="1:9" x14ac:dyDescent="0.25">
      <c r="A947" s="51"/>
      <c r="B947" s="52"/>
      <c r="C947" s="51"/>
      <c r="D947" s="51"/>
      <c r="E947" s="51"/>
      <c r="F947" s="52"/>
      <c r="G947" s="52"/>
      <c r="H947" s="51"/>
      <c r="I947" s="52"/>
    </row>
    <row r="948" spans="1:9" x14ac:dyDescent="0.25">
      <c r="A948" s="51"/>
      <c r="B948" s="52"/>
      <c r="C948" s="51"/>
      <c r="D948" s="51"/>
      <c r="E948" s="51"/>
      <c r="F948" s="52"/>
      <c r="G948" s="52"/>
      <c r="H948" s="51"/>
      <c r="I948" s="52"/>
    </row>
    <row r="949" spans="1:9" x14ac:dyDescent="0.25">
      <c r="A949" s="51"/>
      <c r="B949" s="52"/>
      <c r="C949" s="51"/>
      <c r="D949" s="51"/>
      <c r="E949" s="51"/>
      <c r="F949" s="52"/>
      <c r="G949" s="52"/>
      <c r="H949" s="51"/>
      <c r="I949" s="52"/>
    </row>
    <row r="950" spans="1:9" x14ac:dyDescent="0.25">
      <c r="A950" s="51"/>
      <c r="B950" s="52"/>
      <c r="C950" s="51"/>
      <c r="D950" s="51"/>
      <c r="E950" s="51"/>
      <c r="F950" s="52"/>
      <c r="G950" s="52"/>
      <c r="H950" s="51"/>
      <c r="I950" s="52"/>
    </row>
    <row r="951" spans="1:9" x14ac:dyDescent="0.25">
      <c r="A951" s="51"/>
      <c r="B951" s="52"/>
      <c r="C951" s="51"/>
      <c r="D951" s="51"/>
      <c r="E951" s="51"/>
      <c r="F951" s="52"/>
      <c r="G951" s="52"/>
      <c r="H951" s="51"/>
      <c r="I951" s="52"/>
    </row>
    <row r="952" spans="1:9" x14ac:dyDescent="0.25">
      <c r="A952" s="51"/>
      <c r="B952" s="52"/>
      <c r="C952" s="51"/>
      <c r="D952" s="51"/>
      <c r="E952" s="51"/>
      <c r="F952" s="52"/>
      <c r="G952" s="52"/>
      <c r="H952" s="51"/>
      <c r="I952" s="52"/>
    </row>
    <row r="953" spans="1:9" x14ac:dyDescent="0.25">
      <c r="A953" s="51"/>
      <c r="B953" s="52"/>
      <c r="C953" s="51"/>
      <c r="D953" s="51"/>
      <c r="E953" s="51"/>
      <c r="F953" s="52"/>
      <c r="G953" s="52"/>
      <c r="H953" s="51"/>
      <c r="I953" s="52"/>
    </row>
    <row r="954" spans="1:9" x14ac:dyDescent="0.25">
      <c r="A954" s="51"/>
      <c r="B954" s="52"/>
      <c r="C954" s="51"/>
      <c r="D954" s="51"/>
      <c r="E954" s="51"/>
      <c r="F954" s="52"/>
      <c r="G954" s="52"/>
      <c r="H954" s="51"/>
      <c r="I954" s="52"/>
    </row>
    <row r="955" spans="1:9" x14ac:dyDescent="0.25">
      <c r="A955" s="51"/>
      <c r="B955" s="52"/>
      <c r="C955" s="51"/>
      <c r="D955" s="51"/>
      <c r="E955" s="51"/>
      <c r="F955" s="52"/>
      <c r="G955" s="52"/>
      <c r="H955" s="51"/>
      <c r="I955" s="52"/>
    </row>
    <row r="956" spans="1:9" x14ac:dyDescent="0.25">
      <c r="A956" s="51"/>
      <c r="B956" s="52"/>
      <c r="C956" s="51"/>
      <c r="D956" s="51"/>
      <c r="E956" s="51"/>
      <c r="F956" s="52"/>
      <c r="G956" s="52"/>
      <c r="H956" s="51"/>
      <c r="I956" s="52"/>
    </row>
    <row r="957" spans="1:9" x14ac:dyDescent="0.25">
      <c r="A957" s="51"/>
      <c r="B957" s="52"/>
      <c r="C957" s="51"/>
      <c r="D957" s="51"/>
      <c r="E957" s="51"/>
      <c r="F957" s="52"/>
      <c r="G957" s="52"/>
      <c r="H957" s="51"/>
      <c r="I957" s="52"/>
    </row>
    <row r="958" spans="1:9" x14ac:dyDescent="0.25">
      <c r="A958" s="51"/>
      <c r="B958" s="52"/>
      <c r="C958" s="51"/>
      <c r="D958" s="51"/>
      <c r="E958" s="51"/>
      <c r="F958" s="52"/>
      <c r="G958" s="52"/>
      <c r="H958" s="51"/>
      <c r="I958" s="52"/>
    </row>
    <row r="959" spans="1:9" x14ac:dyDescent="0.25">
      <c r="A959" s="51"/>
      <c r="B959" s="52"/>
      <c r="C959" s="51"/>
      <c r="D959" s="51"/>
      <c r="E959" s="51"/>
      <c r="F959" s="52"/>
      <c r="G959" s="52"/>
      <c r="H959" s="51"/>
      <c r="I959" s="52"/>
    </row>
    <row r="960" spans="1:9" x14ac:dyDescent="0.25">
      <c r="A960" s="51"/>
      <c r="B960" s="52"/>
      <c r="C960" s="51"/>
      <c r="D960" s="51"/>
      <c r="E960" s="51"/>
      <c r="F960" s="52"/>
      <c r="G960" s="52"/>
      <c r="H960" s="51"/>
      <c r="I960" s="52"/>
    </row>
    <row r="961" spans="1:9" x14ac:dyDescent="0.25">
      <c r="A961" s="51"/>
      <c r="B961" s="52"/>
      <c r="C961" s="51"/>
      <c r="D961" s="51"/>
      <c r="E961" s="51"/>
      <c r="F961" s="52"/>
      <c r="G961" s="52"/>
      <c r="H961" s="51"/>
      <c r="I961" s="52"/>
    </row>
    <row r="962" spans="1:9" x14ac:dyDescent="0.25">
      <c r="A962" s="51"/>
      <c r="B962" s="52"/>
      <c r="C962" s="51"/>
      <c r="D962" s="51"/>
      <c r="E962" s="51"/>
      <c r="F962" s="52"/>
      <c r="G962" s="52"/>
      <c r="H962" s="51"/>
      <c r="I962" s="52"/>
    </row>
    <row r="963" spans="1:9" x14ac:dyDescent="0.25">
      <c r="A963" s="51"/>
      <c r="B963" s="52"/>
      <c r="C963" s="51"/>
      <c r="D963" s="51"/>
      <c r="E963" s="51"/>
      <c r="F963" s="52"/>
      <c r="G963" s="52"/>
      <c r="H963" s="51"/>
      <c r="I963" s="52"/>
    </row>
    <row r="964" spans="1:9" x14ac:dyDescent="0.25">
      <c r="A964" s="51"/>
      <c r="B964" s="52"/>
      <c r="C964" s="51"/>
      <c r="D964" s="51"/>
      <c r="E964" s="51"/>
      <c r="F964" s="52"/>
      <c r="G964" s="52"/>
      <c r="H964" s="51"/>
      <c r="I964" s="52"/>
    </row>
    <row r="965" spans="1:9" x14ac:dyDescent="0.25">
      <c r="A965" s="51"/>
      <c r="B965" s="52"/>
      <c r="C965" s="51"/>
      <c r="D965" s="51"/>
      <c r="E965" s="51"/>
      <c r="F965" s="52"/>
      <c r="G965" s="52"/>
      <c r="H965" s="51"/>
      <c r="I965" s="52"/>
    </row>
    <row r="966" spans="1:9" x14ac:dyDescent="0.25">
      <c r="A966" s="51"/>
      <c r="B966" s="52"/>
      <c r="C966" s="51"/>
      <c r="D966" s="51"/>
      <c r="E966" s="51"/>
      <c r="F966" s="52"/>
      <c r="G966" s="52"/>
      <c r="H966" s="51"/>
      <c r="I966" s="52"/>
    </row>
    <row r="967" spans="1:9" x14ac:dyDescent="0.25">
      <c r="A967" s="51"/>
      <c r="B967" s="52"/>
      <c r="C967" s="51"/>
      <c r="D967" s="51"/>
      <c r="E967" s="51"/>
      <c r="F967" s="52"/>
      <c r="G967" s="52"/>
      <c r="H967" s="51"/>
      <c r="I967" s="52"/>
    </row>
    <row r="968" spans="1:9" x14ac:dyDescent="0.25">
      <c r="A968" s="51"/>
      <c r="B968" s="52"/>
      <c r="C968" s="51"/>
      <c r="D968" s="51"/>
      <c r="E968" s="51"/>
      <c r="F968" s="52"/>
      <c r="G968" s="52"/>
      <c r="H968" s="51"/>
      <c r="I968" s="52"/>
    </row>
    <row r="969" spans="1:9" x14ac:dyDescent="0.25">
      <c r="A969" s="51"/>
      <c r="B969" s="52"/>
      <c r="C969" s="51"/>
      <c r="D969" s="51"/>
      <c r="E969" s="51"/>
      <c r="F969" s="52"/>
      <c r="G969" s="52"/>
      <c r="H969" s="51"/>
      <c r="I969" s="52"/>
    </row>
    <row r="970" spans="1:9" x14ac:dyDescent="0.25">
      <c r="A970" s="51"/>
      <c r="B970" s="52"/>
      <c r="C970" s="51"/>
      <c r="D970" s="51"/>
      <c r="E970" s="51"/>
      <c r="F970" s="52"/>
      <c r="G970" s="52"/>
      <c r="H970" s="51"/>
      <c r="I970" s="52"/>
    </row>
    <row r="971" spans="1:9" x14ac:dyDescent="0.25">
      <c r="A971" s="51"/>
      <c r="B971" s="52"/>
      <c r="C971" s="51"/>
      <c r="D971" s="51"/>
      <c r="E971" s="51"/>
      <c r="F971" s="52"/>
      <c r="G971" s="52"/>
      <c r="H971" s="51"/>
      <c r="I971" s="52"/>
    </row>
    <row r="972" spans="1:9" x14ac:dyDescent="0.25">
      <c r="A972" s="51"/>
      <c r="B972" s="52"/>
      <c r="C972" s="51"/>
      <c r="D972" s="51"/>
      <c r="E972" s="51"/>
      <c r="F972" s="52"/>
      <c r="G972" s="52"/>
      <c r="H972" s="51"/>
      <c r="I972" s="52"/>
    </row>
    <row r="973" spans="1:9" x14ac:dyDescent="0.25">
      <c r="A973" s="51"/>
      <c r="B973" s="52"/>
      <c r="C973" s="51"/>
      <c r="D973" s="51"/>
      <c r="E973" s="51"/>
      <c r="F973" s="52"/>
      <c r="G973" s="52"/>
      <c r="H973" s="51"/>
      <c r="I973" s="52"/>
    </row>
    <row r="974" spans="1:9" x14ac:dyDescent="0.25">
      <c r="A974" s="51"/>
      <c r="B974" s="52"/>
      <c r="C974" s="51"/>
      <c r="D974" s="51"/>
      <c r="E974" s="51"/>
      <c r="F974" s="52"/>
      <c r="G974" s="52"/>
      <c r="H974" s="51"/>
      <c r="I974" s="52"/>
    </row>
    <row r="975" spans="1:9" x14ac:dyDescent="0.25">
      <c r="A975" s="51"/>
      <c r="B975" s="52"/>
      <c r="C975" s="51"/>
      <c r="D975" s="51"/>
      <c r="E975" s="51"/>
      <c r="F975" s="52"/>
      <c r="G975" s="52"/>
      <c r="H975" s="51"/>
      <c r="I975" s="52"/>
    </row>
    <row r="976" spans="1:9" x14ac:dyDescent="0.25">
      <c r="A976" s="51"/>
      <c r="B976" s="52"/>
      <c r="C976" s="51"/>
      <c r="D976" s="51"/>
      <c r="E976" s="51"/>
      <c r="F976" s="52"/>
      <c r="G976" s="52"/>
      <c r="H976" s="51"/>
      <c r="I976" s="52"/>
    </row>
    <row r="977" spans="1:9" x14ac:dyDescent="0.25">
      <c r="A977" s="51"/>
      <c r="B977" s="52"/>
      <c r="C977" s="51"/>
      <c r="D977" s="51"/>
      <c r="E977" s="51"/>
      <c r="F977" s="52"/>
      <c r="G977" s="52"/>
      <c r="H977" s="51"/>
      <c r="I977" s="52"/>
    </row>
    <row r="978" spans="1:9" x14ac:dyDescent="0.25">
      <c r="A978" s="51"/>
      <c r="B978" s="52"/>
      <c r="C978" s="51"/>
      <c r="D978" s="51"/>
      <c r="E978" s="51"/>
      <c r="F978" s="52"/>
      <c r="G978" s="52"/>
      <c r="H978" s="51"/>
      <c r="I978" s="52"/>
    </row>
    <row r="979" spans="1:9" x14ac:dyDescent="0.25">
      <c r="A979" s="51"/>
      <c r="B979" s="52"/>
      <c r="C979" s="51"/>
      <c r="D979" s="51"/>
      <c r="E979" s="51"/>
      <c r="F979" s="52"/>
      <c r="G979" s="52"/>
      <c r="H979" s="51"/>
      <c r="I979" s="52"/>
    </row>
    <row r="980" spans="1:9" x14ac:dyDescent="0.25">
      <c r="A980" s="51"/>
      <c r="B980" s="52"/>
      <c r="C980" s="51"/>
      <c r="D980" s="51"/>
      <c r="E980" s="51"/>
      <c r="F980" s="52"/>
      <c r="G980" s="52"/>
      <c r="H980" s="51"/>
      <c r="I980" s="52"/>
    </row>
    <row r="981" spans="1:9" x14ac:dyDescent="0.25">
      <c r="A981" s="51"/>
      <c r="B981" s="52"/>
      <c r="C981" s="51"/>
      <c r="D981" s="51"/>
      <c r="E981" s="51"/>
      <c r="F981" s="52"/>
      <c r="G981" s="52"/>
      <c r="H981" s="51"/>
      <c r="I981" s="52"/>
    </row>
    <row r="982" spans="1:9" x14ac:dyDescent="0.25">
      <c r="A982" s="51"/>
      <c r="B982" s="52"/>
      <c r="C982" s="51"/>
      <c r="D982" s="51"/>
      <c r="E982" s="51"/>
      <c r="F982" s="52"/>
      <c r="G982" s="52"/>
      <c r="H982" s="51"/>
      <c r="I982" s="52"/>
    </row>
    <row r="983" spans="1:9" x14ac:dyDescent="0.25">
      <c r="A983" s="51"/>
      <c r="B983" s="52"/>
      <c r="C983" s="51"/>
      <c r="D983" s="51"/>
      <c r="E983" s="51"/>
      <c r="F983" s="52"/>
      <c r="G983" s="52"/>
      <c r="H983" s="51"/>
      <c r="I983" s="52"/>
    </row>
    <row r="984" spans="1:9" x14ac:dyDescent="0.25">
      <c r="A984" s="51"/>
      <c r="B984" s="52"/>
      <c r="C984" s="51"/>
      <c r="D984" s="51"/>
      <c r="E984" s="51"/>
      <c r="F984" s="52"/>
      <c r="G984" s="52"/>
      <c r="H984" s="51"/>
      <c r="I984" s="52"/>
    </row>
    <row r="985" spans="1:9" x14ac:dyDescent="0.25">
      <c r="A985" s="51"/>
      <c r="B985" s="52"/>
      <c r="C985" s="51"/>
      <c r="D985" s="51"/>
      <c r="E985" s="51"/>
      <c r="F985" s="52"/>
      <c r="G985" s="52"/>
      <c r="H985" s="51"/>
      <c r="I985" s="52"/>
    </row>
    <row r="986" spans="1:9" x14ac:dyDescent="0.25">
      <c r="A986" s="51"/>
      <c r="B986" s="52"/>
      <c r="C986" s="51"/>
      <c r="D986" s="51"/>
      <c r="E986" s="51"/>
      <c r="F986" s="52"/>
      <c r="G986" s="52"/>
      <c r="H986" s="51"/>
      <c r="I986" s="52"/>
    </row>
    <row r="987" spans="1:9" x14ac:dyDescent="0.25">
      <c r="A987" s="51"/>
      <c r="B987" s="52"/>
      <c r="C987" s="51"/>
      <c r="D987" s="51"/>
      <c r="E987" s="51"/>
      <c r="F987" s="52"/>
      <c r="G987" s="52"/>
      <c r="H987" s="51"/>
      <c r="I987" s="52"/>
    </row>
    <row r="988" spans="1:9" x14ac:dyDescent="0.25">
      <c r="A988" s="51"/>
      <c r="B988" s="52"/>
      <c r="C988" s="51"/>
      <c r="D988" s="51"/>
      <c r="E988" s="51"/>
      <c r="F988" s="52"/>
      <c r="G988" s="52"/>
      <c r="H988" s="51"/>
      <c r="I988" s="52"/>
    </row>
    <row r="989" spans="1:9" x14ac:dyDescent="0.25">
      <c r="A989" s="51"/>
      <c r="B989" s="52"/>
      <c r="C989" s="51"/>
      <c r="D989" s="51"/>
      <c r="E989" s="51"/>
      <c r="F989" s="52"/>
      <c r="G989" s="52"/>
      <c r="H989" s="51"/>
      <c r="I989" s="52"/>
    </row>
    <row r="990" spans="1:9" x14ac:dyDescent="0.25">
      <c r="A990" s="51"/>
      <c r="B990" s="52"/>
      <c r="C990" s="51"/>
      <c r="D990" s="51"/>
      <c r="E990" s="51"/>
      <c r="F990" s="52"/>
      <c r="G990" s="52"/>
      <c r="H990" s="51"/>
      <c r="I990" s="52"/>
    </row>
    <row r="991" spans="1:9" x14ac:dyDescent="0.25">
      <c r="A991" s="51"/>
      <c r="B991" s="52"/>
      <c r="C991" s="51"/>
      <c r="D991" s="51"/>
      <c r="E991" s="51"/>
      <c r="F991" s="52"/>
      <c r="G991" s="52"/>
      <c r="H991" s="51"/>
      <c r="I991" s="52"/>
    </row>
    <row r="992" spans="1:9" x14ac:dyDescent="0.25">
      <c r="A992" s="51"/>
      <c r="B992" s="52"/>
      <c r="C992" s="51"/>
      <c r="D992" s="51"/>
      <c r="E992" s="51"/>
      <c r="F992" s="52"/>
      <c r="G992" s="52"/>
      <c r="H992" s="51"/>
      <c r="I992" s="52"/>
    </row>
    <row r="993" spans="1:9" x14ac:dyDescent="0.25">
      <c r="A993" s="51"/>
      <c r="B993" s="52"/>
      <c r="C993" s="51"/>
      <c r="D993" s="51"/>
      <c r="E993" s="51"/>
      <c r="F993" s="52"/>
      <c r="G993" s="52"/>
      <c r="H993" s="51"/>
      <c r="I993" s="52"/>
    </row>
    <row r="994" spans="1:9" x14ac:dyDescent="0.25">
      <c r="A994" s="51"/>
      <c r="B994" s="52"/>
      <c r="C994" s="51"/>
      <c r="D994" s="51"/>
      <c r="E994" s="51"/>
      <c r="F994" s="52"/>
      <c r="G994" s="52"/>
      <c r="H994" s="51"/>
      <c r="I994" s="52"/>
    </row>
    <row r="995" spans="1:9" x14ac:dyDescent="0.25">
      <c r="A995" s="51"/>
      <c r="B995" s="52"/>
      <c r="C995" s="51"/>
      <c r="D995" s="51"/>
      <c r="E995" s="51"/>
      <c r="F995" s="52"/>
      <c r="G995" s="52"/>
      <c r="H995" s="51"/>
      <c r="I995" s="52"/>
    </row>
    <row r="996" spans="1:9" x14ac:dyDescent="0.25">
      <c r="A996" s="51"/>
      <c r="B996" s="52"/>
      <c r="C996" s="51"/>
      <c r="D996" s="51"/>
      <c r="E996" s="51"/>
      <c r="F996" s="52"/>
      <c r="G996" s="52"/>
      <c r="H996" s="51"/>
      <c r="I996" s="52"/>
    </row>
    <row r="997" spans="1:9" x14ac:dyDescent="0.25">
      <c r="A997" s="51"/>
      <c r="B997" s="52"/>
      <c r="C997" s="51"/>
      <c r="D997" s="51"/>
      <c r="E997" s="51"/>
      <c r="F997" s="52"/>
      <c r="G997" s="52"/>
      <c r="H997" s="51"/>
      <c r="I997" s="52"/>
    </row>
    <row r="998" spans="1:9" x14ac:dyDescent="0.25">
      <c r="A998" s="51"/>
      <c r="B998" s="52"/>
      <c r="C998" s="51"/>
      <c r="D998" s="51"/>
      <c r="E998" s="51"/>
      <c r="F998" s="52"/>
      <c r="G998" s="52"/>
      <c r="H998" s="51"/>
      <c r="I998" s="52"/>
    </row>
    <row r="999" spans="1:9" x14ac:dyDescent="0.25">
      <c r="A999" s="51"/>
      <c r="B999" s="52"/>
      <c r="C999" s="51"/>
      <c r="D999" s="51"/>
      <c r="E999" s="51"/>
      <c r="F999" s="52"/>
      <c r="G999" s="52"/>
      <c r="H999" s="51"/>
      <c r="I999" s="52"/>
    </row>
    <row r="1000" spans="1:9" x14ac:dyDescent="0.25">
      <c r="A1000" s="51"/>
      <c r="B1000" s="52"/>
      <c r="C1000" s="51"/>
      <c r="D1000" s="51"/>
      <c r="E1000" s="51"/>
      <c r="F1000" s="52"/>
      <c r="G1000" s="52"/>
      <c r="H1000" s="51"/>
      <c r="I1000" s="52"/>
    </row>
    <row r="1001" spans="1:9" x14ac:dyDescent="0.25">
      <c r="A1001" s="51"/>
      <c r="B1001" s="52"/>
      <c r="C1001" s="51"/>
      <c r="D1001" s="51"/>
      <c r="E1001" s="51"/>
      <c r="F1001" s="52"/>
      <c r="G1001" s="52"/>
      <c r="H1001" s="51"/>
      <c r="I1001" s="52"/>
    </row>
    <row r="1002" spans="1:9" x14ac:dyDescent="0.25">
      <c r="A1002" s="51"/>
      <c r="B1002" s="52"/>
      <c r="C1002" s="51"/>
      <c r="D1002" s="51"/>
      <c r="E1002" s="51"/>
      <c r="F1002" s="52"/>
      <c r="G1002" s="52"/>
      <c r="H1002" s="51"/>
      <c r="I1002" s="52"/>
    </row>
    <row r="1003" spans="1:9" x14ac:dyDescent="0.25">
      <c r="A1003" s="51"/>
      <c r="B1003" s="52"/>
      <c r="C1003" s="51"/>
      <c r="D1003" s="51"/>
      <c r="E1003" s="51"/>
      <c r="F1003" s="52"/>
      <c r="G1003" s="52"/>
      <c r="H1003" s="51"/>
      <c r="I1003" s="52"/>
    </row>
    <row r="1004" spans="1:9" x14ac:dyDescent="0.25">
      <c r="A1004" s="51"/>
      <c r="B1004" s="52"/>
      <c r="C1004" s="51"/>
      <c r="D1004" s="51"/>
      <c r="E1004" s="51"/>
      <c r="F1004" s="52"/>
      <c r="G1004" s="52"/>
      <c r="H1004" s="51"/>
      <c r="I1004" s="52"/>
    </row>
    <row r="1005" spans="1:9" x14ac:dyDescent="0.25">
      <c r="A1005" s="51"/>
      <c r="B1005" s="52"/>
      <c r="C1005" s="51"/>
      <c r="D1005" s="51"/>
      <c r="E1005" s="51"/>
      <c r="F1005" s="52"/>
      <c r="G1005" s="52"/>
      <c r="H1005" s="51"/>
      <c r="I1005" s="52"/>
    </row>
  </sheetData>
  <mergeCells count="11">
    <mergeCell ref="A1:I1"/>
    <mergeCell ref="A2:I2"/>
    <mergeCell ref="I3:I5"/>
    <mergeCell ref="H3:H5"/>
    <mergeCell ref="G3:G5"/>
    <mergeCell ref="F3:F5"/>
    <mergeCell ref="E3:E5"/>
    <mergeCell ref="D3:D5"/>
    <mergeCell ref="C3:C5"/>
    <mergeCell ref="B3:B5"/>
    <mergeCell ref="A3:A5"/>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9"/>
  <sheetViews>
    <sheetView zoomScaleNormal="100" workbookViewId="0">
      <pane xSplit="29" ySplit="49" topLeftCell="AH58" activePane="bottomRight" state="frozen"/>
      <selection pane="topRight" activeCell="AD1" sqref="AD1"/>
      <selection pane="bottomLeft" activeCell="A50" sqref="A50"/>
      <selection pane="bottomRight"/>
    </sheetView>
  </sheetViews>
  <sheetFormatPr defaultColWidth="9.109375" defaultRowHeight="13.2" x14ac:dyDescent="0.25"/>
  <cols>
    <col min="1" max="1" width="8.109375" style="45" customWidth="1"/>
    <col min="2" max="28" width="9.109375" style="45"/>
    <col min="29" max="29" width="11.88671875" style="45" customWidth="1"/>
    <col min="30" max="16384" width="9.109375" style="45"/>
  </cols>
  <sheetData>
    <row r="1" spans="1:29" ht="26.25" customHeight="1" x14ac:dyDescent="0.25">
      <c r="A1" s="43"/>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row>
    <row r="2" spans="1:29" ht="12.75" customHeight="1" x14ac:dyDescent="0.25">
      <c r="A2" s="44"/>
      <c r="B2" s="44"/>
      <c r="C2" s="44"/>
      <c r="D2" s="44"/>
      <c r="E2" s="44"/>
      <c r="F2" s="44"/>
      <c r="G2" s="44"/>
      <c r="H2" s="44"/>
      <c r="I2" s="44"/>
      <c r="J2" s="44"/>
      <c r="K2" s="44"/>
      <c r="L2" s="44"/>
      <c r="M2" s="44"/>
      <c r="N2" s="44"/>
      <c r="O2" s="44"/>
      <c r="P2" s="44"/>
      <c r="Q2" s="44"/>
      <c r="R2" s="44"/>
      <c r="S2" s="44"/>
      <c r="T2" s="44"/>
      <c r="U2" s="44"/>
      <c r="V2" s="44"/>
      <c r="W2" s="44"/>
      <c r="X2" s="44"/>
      <c r="Y2" s="44"/>
      <c r="Z2" s="44"/>
      <c r="AA2" s="44"/>
      <c r="AB2" s="44"/>
      <c r="AC2" s="44"/>
    </row>
    <row r="3" spans="1:29" ht="12.75" customHeight="1" x14ac:dyDescent="0.25">
      <c r="A3" s="44"/>
      <c r="B3" s="44"/>
      <c r="C3" s="44"/>
      <c r="D3" s="44"/>
      <c r="E3" s="44"/>
      <c r="F3" s="44"/>
      <c r="G3" s="44"/>
      <c r="H3" s="44"/>
      <c r="I3" s="44"/>
      <c r="J3" s="44"/>
      <c r="K3" s="44"/>
      <c r="L3" s="44"/>
      <c r="M3" s="44"/>
      <c r="N3" s="44"/>
      <c r="O3" s="44"/>
      <c r="P3" s="44"/>
      <c r="Q3" s="44"/>
      <c r="R3" s="44"/>
      <c r="S3" s="44"/>
      <c r="T3" s="44"/>
      <c r="U3" s="44"/>
      <c r="V3" s="44"/>
      <c r="W3" s="44"/>
      <c r="X3" s="44"/>
      <c r="Y3" s="44"/>
      <c r="Z3" s="44"/>
      <c r="AA3" s="44"/>
      <c r="AB3" s="44"/>
      <c r="AC3" s="44"/>
    </row>
    <row r="4" spans="1:29" ht="12.75" customHeight="1" x14ac:dyDescent="0.25">
      <c r="A4" s="44"/>
      <c r="B4" s="44"/>
      <c r="C4" s="44"/>
      <c r="D4" s="44"/>
      <c r="E4" s="44"/>
      <c r="F4" s="44"/>
      <c r="G4" s="44"/>
      <c r="H4" s="44"/>
      <c r="I4" s="44"/>
      <c r="J4" s="44"/>
      <c r="K4" s="44"/>
      <c r="L4" s="44"/>
      <c r="M4" s="44"/>
      <c r="N4" s="44"/>
      <c r="O4" s="44"/>
      <c r="P4" s="44"/>
      <c r="Q4" s="44"/>
      <c r="R4" s="44"/>
      <c r="S4" s="44"/>
      <c r="T4" s="44"/>
      <c r="U4" s="44"/>
      <c r="V4" s="44"/>
      <c r="W4" s="44"/>
      <c r="X4" s="44"/>
      <c r="Y4" s="44"/>
      <c r="Z4" s="44"/>
      <c r="AA4" s="44"/>
      <c r="AB4" s="44"/>
      <c r="AC4" s="44"/>
    </row>
    <row r="5" spans="1:29" ht="12.75" customHeight="1" x14ac:dyDescent="0.25">
      <c r="A5" s="44"/>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row>
    <row r="6" spans="1:29" ht="12.75" customHeight="1" x14ac:dyDescent="0.25">
      <c r="A6" s="44"/>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row>
    <row r="7" spans="1:29" ht="12.75" customHeight="1" x14ac:dyDescent="0.25">
      <c r="A7" s="44"/>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row>
    <row r="8" spans="1:29" ht="12.75" customHeight="1" x14ac:dyDescent="0.25">
      <c r="A8" s="44"/>
      <c r="B8" s="44"/>
      <c r="C8" s="44"/>
      <c r="D8" s="44"/>
      <c r="E8" s="44"/>
      <c r="F8" s="44"/>
      <c r="G8" s="44"/>
      <c r="H8" s="44"/>
      <c r="I8" s="44"/>
      <c r="J8" s="44"/>
      <c r="K8" s="44"/>
      <c r="L8" s="44"/>
      <c r="M8" s="44"/>
      <c r="N8" s="44"/>
      <c r="O8" s="44"/>
      <c r="P8" s="44"/>
      <c r="Q8" s="44"/>
      <c r="R8" s="44"/>
      <c r="S8" s="44"/>
      <c r="T8" s="44"/>
      <c r="U8" s="44"/>
      <c r="V8" s="44"/>
      <c r="W8" s="44"/>
      <c r="X8" s="44"/>
      <c r="Y8" s="44"/>
      <c r="Z8" s="44"/>
      <c r="AA8" s="44"/>
      <c r="AB8" s="44"/>
      <c r="AC8" s="44"/>
    </row>
    <row r="9" spans="1:29" ht="12.75" customHeight="1" x14ac:dyDescent="0.25">
      <c r="A9" s="44"/>
      <c r="B9" s="44"/>
      <c r="C9" s="44"/>
      <c r="D9" s="44"/>
      <c r="E9" s="44"/>
      <c r="F9" s="44"/>
      <c r="G9" s="44"/>
      <c r="H9" s="44"/>
      <c r="I9" s="44"/>
      <c r="J9" s="44"/>
      <c r="K9" s="44"/>
      <c r="L9" s="44"/>
      <c r="M9" s="44"/>
      <c r="N9" s="44"/>
      <c r="O9" s="44"/>
      <c r="P9" s="44"/>
      <c r="Q9" s="44"/>
      <c r="R9" s="44"/>
      <c r="S9" s="44"/>
      <c r="T9" s="44"/>
      <c r="U9" s="44"/>
      <c r="V9" s="44"/>
      <c r="W9" s="44"/>
      <c r="X9" s="44"/>
      <c r="Y9" s="44"/>
      <c r="Z9" s="44"/>
      <c r="AA9" s="44"/>
      <c r="AB9" s="44"/>
      <c r="AC9" s="44"/>
    </row>
    <row r="10" spans="1:29" ht="12.75" customHeight="1" x14ac:dyDescent="0.25">
      <c r="A10" s="44"/>
      <c r="B10" s="44"/>
      <c r="C10" s="44"/>
      <c r="D10" s="44"/>
      <c r="E10" s="44"/>
      <c r="F10" s="44"/>
      <c r="G10" s="44"/>
      <c r="H10" s="44"/>
      <c r="I10" s="44"/>
      <c r="J10" s="44"/>
      <c r="K10" s="44"/>
      <c r="L10" s="44"/>
      <c r="M10" s="44"/>
      <c r="N10" s="44"/>
      <c r="O10" s="44"/>
      <c r="P10" s="44"/>
      <c r="Q10" s="44"/>
      <c r="R10" s="44"/>
      <c r="S10" s="44"/>
      <c r="T10" s="44"/>
      <c r="U10" s="44"/>
      <c r="V10" s="44"/>
      <c r="W10" s="44"/>
      <c r="X10" s="44"/>
      <c r="Y10" s="44"/>
      <c r="Z10" s="44"/>
      <c r="AA10" s="44"/>
      <c r="AB10" s="44"/>
      <c r="AC10" s="44"/>
    </row>
    <row r="11" spans="1:29" ht="12.75" customHeight="1" x14ac:dyDescent="0.25">
      <c r="A11" s="44"/>
      <c r="B11" s="44"/>
      <c r="C11" s="44"/>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row>
    <row r="12" spans="1:29" ht="12.75" customHeight="1" x14ac:dyDescent="0.25">
      <c r="A12" s="44"/>
      <c r="B12" s="44"/>
      <c r="C12" s="44"/>
      <c r="D12" s="44"/>
      <c r="E12" s="44"/>
      <c r="F12" s="44"/>
      <c r="G12" s="44"/>
      <c r="H12" s="44"/>
      <c r="I12" s="44"/>
      <c r="J12" s="44"/>
      <c r="K12" s="44"/>
      <c r="L12" s="44"/>
      <c r="M12" s="44"/>
      <c r="N12" s="44"/>
      <c r="O12" s="44"/>
      <c r="P12" s="44"/>
      <c r="Q12" s="44"/>
      <c r="R12" s="44"/>
      <c r="S12" s="44"/>
      <c r="T12" s="44"/>
      <c r="U12" s="44"/>
      <c r="V12" s="44"/>
      <c r="W12" s="44"/>
      <c r="X12" s="44"/>
      <c r="Y12" s="44"/>
      <c r="Z12" s="44"/>
      <c r="AA12" s="44"/>
      <c r="AB12" s="44"/>
      <c r="AC12" s="44"/>
    </row>
    <row r="13" spans="1:29" ht="12.75" customHeight="1" x14ac:dyDescent="0.25">
      <c r="A13" s="44"/>
      <c r="B13" s="44"/>
      <c r="C13" s="44"/>
      <c r="D13" s="44"/>
      <c r="E13" s="44"/>
      <c r="F13" s="44"/>
      <c r="G13" s="44"/>
      <c r="H13" s="44"/>
      <c r="I13" s="44"/>
      <c r="J13" s="44"/>
      <c r="K13" s="44"/>
      <c r="L13" s="44"/>
      <c r="M13" s="44"/>
      <c r="N13" s="44"/>
      <c r="O13" s="44"/>
      <c r="P13" s="44"/>
      <c r="Q13" s="44"/>
      <c r="R13" s="44"/>
      <c r="S13" s="44"/>
      <c r="T13" s="44"/>
      <c r="U13" s="44"/>
      <c r="V13" s="44"/>
      <c r="W13" s="44"/>
      <c r="X13" s="44"/>
      <c r="Y13" s="44"/>
      <c r="Z13" s="44"/>
      <c r="AA13" s="44"/>
      <c r="AB13" s="44"/>
      <c r="AC13" s="44"/>
    </row>
    <row r="14" spans="1:29" ht="12.75" customHeight="1" x14ac:dyDescent="0.25">
      <c r="A14" s="44"/>
      <c r="B14" s="44"/>
      <c r="C14" s="44"/>
      <c r="D14" s="44"/>
      <c r="E14" s="44"/>
      <c r="F14" s="44"/>
      <c r="G14" s="44"/>
      <c r="H14" s="44"/>
      <c r="I14" s="44"/>
      <c r="J14" s="44"/>
      <c r="K14" s="44"/>
      <c r="L14" s="44"/>
      <c r="M14" s="44"/>
      <c r="N14" s="44"/>
      <c r="O14" s="44"/>
      <c r="P14" s="44"/>
      <c r="Q14" s="44"/>
      <c r="R14" s="44"/>
      <c r="S14" s="44"/>
      <c r="T14" s="44"/>
      <c r="U14" s="44"/>
      <c r="V14" s="44"/>
      <c r="W14" s="44"/>
      <c r="X14" s="44"/>
      <c r="Y14" s="44"/>
      <c r="Z14" s="44"/>
      <c r="AA14" s="44"/>
      <c r="AB14" s="44"/>
      <c r="AC14" s="44"/>
    </row>
    <row r="15" spans="1:29" ht="12.75" customHeight="1" x14ac:dyDescent="0.25">
      <c r="A15" s="44"/>
      <c r="B15" s="44"/>
      <c r="C15" s="44"/>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row>
    <row r="16" spans="1:29" ht="12.75" customHeight="1" x14ac:dyDescent="0.25">
      <c r="A16" s="44"/>
      <c r="B16" s="44"/>
      <c r="C16" s="44"/>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row>
    <row r="17" spans="1:29" ht="12.75" customHeight="1" x14ac:dyDescent="0.25">
      <c r="A17" s="44"/>
      <c r="B17" s="44"/>
      <c r="C17" s="44"/>
      <c r="D17" s="44"/>
      <c r="E17" s="44"/>
      <c r="F17" s="44"/>
      <c r="G17" s="44"/>
      <c r="H17" s="44"/>
      <c r="I17" s="44"/>
      <c r="J17" s="44"/>
      <c r="K17" s="44"/>
      <c r="L17" s="44"/>
      <c r="M17" s="44"/>
      <c r="N17" s="44"/>
      <c r="O17" s="44"/>
      <c r="P17" s="44"/>
      <c r="Q17" s="44"/>
      <c r="R17" s="44"/>
      <c r="S17" s="44"/>
      <c r="T17" s="44"/>
      <c r="U17" s="44"/>
      <c r="V17" s="44"/>
      <c r="W17" s="44"/>
      <c r="X17" s="44"/>
      <c r="Y17" s="44"/>
      <c r="Z17" s="44"/>
      <c r="AA17" s="44"/>
      <c r="AB17" s="44"/>
      <c r="AC17" s="44"/>
    </row>
    <row r="18" spans="1:29" ht="12.75" customHeight="1" x14ac:dyDescent="0.25">
      <c r="A18" s="44"/>
      <c r="B18" s="44"/>
      <c r="C18" s="44"/>
      <c r="D18" s="44"/>
      <c r="E18" s="44"/>
      <c r="F18" s="44"/>
      <c r="G18" s="44"/>
      <c r="H18" s="44"/>
      <c r="I18" s="44"/>
      <c r="J18" s="44"/>
      <c r="K18" s="44"/>
      <c r="L18" s="44"/>
      <c r="M18" s="44"/>
      <c r="N18" s="44"/>
      <c r="O18" s="44"/>
      <c r="P18" s="44"/>
      <c r="Q18" s="44"/>
      <c r="R18" s="44"/>
      <c r="S18" s="44"/>
      <c r="T18" s="44"/>
      <c r="U18" s="44"/>
      <c r="V18" s="44"/>
      <c r="W18" s="44"/>
      <c r="X18" s="44"/>
      <c r="Y18" s="44"/>
      <c r="Z18" s="44"/>
      <c r="AA18" s="44"/>
      <c r="AB18" s="44"/>
      <c r="AC18" s="44"/>
    </row>
    <row r="19" spans="1:29" ht="12.75" customHeight="1" x14ac:dyDescent="0.25">
      <c r="A19" s="44"/>
      <c r="B19" s="44"/>
      <c r="C19" s="44"/>
      <c r="D19" s="44"/>
      <c r="E19" s="44"/>
      <c r="F19" s="44"/>
      <c r="G19" s="44"/>
      <c r="H19" s="44"/>
      <c r="I19" s="44"/>
      <c r="J19" s="44"/>
      <c r="K19" s="44"/>
      <c r="L19" s="44"/>
      <c r="M19" s="44"/>
      <c r="N19" s="44"/>
      <c r="O19" s="44"/>
      <c r="P19" s="44"/>
      <c r="Q19" s="44"/>
      <c r="R19" s="44"/>
      <c r="S19" s="44"/>
      <c r="T19" s="44"/>
      <c r="U19" s="44"/>
      <c r="V19" s="44"/>
      <c r="W19" s="44"/>
      <c r="X19" s="44"/>
      <c r="Y19" s="44"/>
      <c r="Z19" s="44"/>
      <c r="AA19" s="44"/>
      <c r="AB19" s="44"/>
      <c r="AC19" s="44"/>
    </row>
    <row r="20" spans="1:29" ht="12.75" customHeight="1" x14ac:dyDescent="0.25">
      <c r="A20" s="44"/>
      <c r="B20" s="44"/>
      <c r="C20" s="44"/>
      <c r="D20" s="44"/>
      <c r="E20" s="44"/>
      <c r="F20" s="44"/>
      <c r="G20" s="44"/>
      <c r="H20" s="44"/>
      <c r="I20" s="44"/>
      <c r="J20" s="44"/>
      <c r="K20" s="44"/>
      <c r="L20" s="44"/>
      <c r="M20" s="44"/>
      <c r="N20" s="44"/>
      <c r="O20" s="44"/>
      <c r="P20" s="44"/>
      <c r="Q20" s="44"/>
      <c r="R20" s="44"/>
      <c r="S20" s="44"/>
      <c r="T20" s="44"/>
      <c r="U20" s="44"/>
      <c r="V20" s="44"/>
      <c r="W20" s="44"/>
      <c r="X20" s="44"/>
      <c r="Y20" s="44"/>
      <c r="Z20" s="44"/>
      <c r="AA20" s="44"/>
      <c r="AB20" s="44"/>
      <c r="AC20" s="44"/>
    </row>
    <row r="21" spans="1:29" ht="12.75" customHeight="1" x14ac:dyDescent="0.25">
      <c r="A21" s="44"/>
      <c r="B21" s="44"/>
      <c r="C21" s="44"/>
      <c r="D21" s="44"/>
      <c r="E21" s="44"/>
      <c r="F21" s="44"/>
      <c r="G21" s="44"/>
      <c r="H21" s="44"/>
      <c r="I21" s="44"/>
      <c r="J21" s="44"/>
      <c r="K21" s="44"/>
      <c r="L21" s="44"/>
      <c r="M21" s="44"/>
      <c r="N21" s="44"/>
      <c r="O21" s="44"/>
      <c r="P21" s="44"/>
      <c r="Q21" s="44"/>
      <c r="R21" s="44"/>
      <c r="S21" s="44"/>
      <c r="T21" s="44"/>
      <c r="U21" s="44"/>
      <c r="V21" s="44"/>
      <c r="W21" s="44"/>
      <c r="X21" s="44"/>
      <c r="Y21" s="44"/>
      <c r="Z21" s="44"/>
      <c r="AA21" s="44"/>
      <c r="AB21" s="44"/>
      <c r="AC21" s="44"/>
    </row>
    <row r="22" spans="1:29" ht="12.75" customHeight="1" x14ac:dyDescent="0.25">
      <c r="A22" s="44"/>
      <c r="B22" s="44"/>
      <c r="C22" s="44"/>
      <c r="D22" s="44"/>
      <c r="E22" s="44"/>
      <c r="F22" s="44"/>
      <c r="G22" s="44"/>
      <c r="H22" s="44"/>
      <c r="I22" s="44"/>
      <c r="J22" s="44"/>
      <c r="K22" s="44"/>
      <c r="L22" s="44"/>
      <c r="M22" s="44"/>
      <c r="N22" s="44"/>
      <c r="O22" s="44"/>
      <c r="P22" s="44"/>
      <c r="Q22" s="44"/>
      <c r="R22" s="44"/>
      <c r="S22" s="44"/>
      <c r="T22" s="44"/>
      <c r="U22" s="44"/>
      <c r="V22" s="44"/>
      <c r="W22" s="44"/>
      <c r="X22" s="44"/>
      <c r="Y22" s="44"/>
      <c r="Z22" s="44"/>
      <c r="AA22" s="44"/>
      <c r="AB22" s="44"/>
      <c r="AC22" s="44"/>
    </row>
    <row r="23" spans="1:29" ht="12.75" customHeight="1" x14ac:dyDescent="0.25">
      <c r="A23" s="44"/>
      <c r="B23" s="44"/>
      <c r="C23" s="44"/>
      <c r="D23" s="44"/>
      <c r="E23" s="44"/>
      <c r="F23" s="44"/>
      <c r="G23" s="44"/>
      <c r="H23" s="44"/>
      <c r="I23" s="44"/>
      <c r="J23" s="44"/>
      <c r="K23" s="44"/>
      <c r="L23" s="44"/>
      <c r="M23" s="44"/>
      <c r="N23" s="44"/>
      <c r="O23" s="44"/>
      <c r="P23" s="44"/>
      <c r="Q23" s="44"/>
      <c r="R23" s="44"/>
      <c r="S23" s="44"/>
      <c r="T23" s="44"/>
      <c r="U23" s="44"/>
      <c r="V23" s="44"/>
      <c r="W23" s="44"/>
      <c r="X23" s="44"/>
      <c r="Y23" s="44"/>
      <c r="Z23" s="44"/>
      <c r="AA23" s="44"/>
      <c r="AB23" s="44"/>
      <c r="AC23" s="44"/>
    </row>
    <row r="24" spans="1:29" ht="12.75" customHeight="1" x14ac:dyDescent="0.25">
      <c r="A24" s="44"/>
      <c r="B24" s="44"/>
      <c r="C24" s="44"/>
      <c r="D24" s="44"/>
      <c r="E24" s="44"/>
      <c r="F24" s="44"/>
      <c r="G24" s="44"/>
      <c r="H24" s="44"/>
      <c r="I24" s="44"/>
      <c r="J24" s="44"/>
      <c r="K24" s="44"/>
      <c r="L24" s="44"/>
      <c r="M24" s="44"/>
      <c r="N24" s="44"/>
      <c r="O24" s="44"/>
      <c r="P24" s="44"/>
      <c r="Q24" s="44"/>
      <c r="R24" s="44"/>
      <c r="S24" s="44"/>
      <c r="T24" s="44"/>
      <c r="U24" s="44"/>
      <c r="V24" s="44"/>
      <c r="W24" s="44"/>
      <c r="X24" s="44"/>
      <c r="Y24" s="44"/>
      <c r="Z24" s="44"/>
      <c r="AA24" s="44"/>
      <c r="AB24" s="44"/>
      <c r="AC24" s="44"/>
    </row>
    <row r="25" spans="1:29" ht="12.75" customHeight="1" x14ac:dyDescent="0.25">
      <c r="A25" s="44"/>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row>
    <row r="26" spans="1:29" ht="12.75" customHeight="1" x14ac:dyDescent="0.25">
      <c r="A26" s="44"/>
      <c r="B26" s="44"/>
      <c r="C26" s="44"/>
      <c r="D26" s="44"/>
      <c r="E26" s="44"/>
      <c r="F26" s="44"/>
      <c r="G26" s="44"/>
      <c r="H26" s="44"/>
      <c r="I26" s="44"/>
      <c r="J26" s="44"/>
      <c r="K26" s="44"/>
      <c r="L26" s="44"/>
      <c r="M26" s="44"/>
      <c r="N26" s="44"/>
      <c r="O26" s="44"/>
      <c r="P26" s="44"/>
      <c r="Q26" s="44"/>
      <c r="R26" s="44"/>
      <c r="S26" s="44"/>
      <c r="T26" s="44"/>
      <c r="U26" s="44"/>
      <c r="V26" s="44"/>
      <c r="W26" s="44"/>
      <c r="X26" s="44"/>
      <c r="Y26" s="44"/>
      <c r="Z26" s="44"/>
      <c r="AA26" s="44"/>
      <c r="AB26" s="44"/>
      <c r="AC26" s="44"/>
    </row>
    <row r="27" spans="1:29" ht="12.75" customHeight="1" x14ac:dyDescent="0.25">
      <c r="A27" s="46"/>
      <c r="B27" s="46"/>
      <c r="C27" s="46"/>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row>
    <row r="28" spans="1:29" ht="12.75" customHeight="1" x14ac:dyDescent="0.25">
      <c r="A28" s="94" t="s">
        <v>115</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row>
    <row r="29" spans="1:29" ht="12.75" customHeight="1" x14ac:dyDescent="0.25">
      <c r="A29" s="94"/>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row>
    <row r="30" spans="1:29" ht="12.75" customHeight="1" x14ac:dyDescent="0.25">
      <c r="A30" s="94"/>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row>
    <row r="31" spans="1:29" ht="12.75" customHeight="1" x14ac:dyDescent="0.25">
      <c r="A31" s="94"/>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row>
    <row r="32" spans="1:29" ht="12.75" customHeight="1" x14ac:dyDescent="0.25">
      <c r="A32" s="94"/>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row>
    <row r="33" spans="1:29" ht="12.75" customHeight="1" x14ac:dyDescent="0.25">
      <c r="A33" s="94"/>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row>
    <row r="34" spans="1:29" ht="12.75" customHeight="1" x14ac:dyDescent="0.25">
      <c r="A34" s="94"/>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row>
    <row r="35" spans="1:29" ht="12.75" customHeight="1" x14ac:dyDescent="0.25">
      <c r="A35" s="94"/>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row>
    <row r="36" spans="1:29" ht="12.75" customHeight="1" x14ac:dyDescent="0.25">
      <c r="A36" s="94"/>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row>
    <row r="37" spans="1:29" ht="12.75" customHeight="1" x14ac:dyDescent="0.25">
      <c r="A37" s="94"/>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row>
    <row r="38" spans="1:29" ht="12.75" customHeight="1" x14ac:dyDescent="0.25">
      <c r="A38" s="94"/>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row>
    <row r="39" spans="1:29" ht="12.75" customHeight="1" x14ac:dyDescent="0.25">
      <c r="A39" s="94"/>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row>
    <row r="40" spans="1:29" ht="12.75" customHeight="1" x14ac:dyDescent="0.25">
      <c r="A40" s="94"/>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row>
    <row r="41" spans="1:29" ht="12.75" customHeight="1" x14ac:dyDescent="0.25">
      <c r="A41" s="94"/>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row>
    <row r="42" spans="1:29" ht="12.75" customHeight="1" x14ac:dyDescent="0.25">
      <c r="A42" s="94"/>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row>
    <row r="43" spans="1:29" ht="12.75" customHeight="1" x14ac:dyDescent="0.25">
      <c r="A43" s="94"/>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row>
    <row r="44" spans="1:29" ht="12.75" customHeight="1" x14ac:dyDescent="0.25">
      <c r="A44" s="94"/>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row>
    <row r="45" spans="1:29" ht="12.75" customHeight="1" x14ac:dyDescent="0.25">
      <c r="A45" s="44"/>
      <c r="B45" s="44"/>
      <c r="C45" s="44"/>
      <c r="D45" s="44"/>
      <c r="E45" s="44"/>
      <c r="F45" s="44"/>
      <c r="G45" s="44"/>
      <c r="H45" s="44"/>
      <c r="I45" s="44"/>
      <c r="J45" s="44"/>
      <c r="K45" s="44"/>
      <c r="L45" s="44"/>
      <c r="M45" s="44"/>
      <c r="N45" s="44"/>
      <c r="O45" s="44"/>
      <c r="P45" s="44"/>
      <c r="Q45" s="44"/>
      <c r="R45" s="44"/>
      <c r="S45" s="44"/>
      <c r="T45" s="44"/>
      <c r="U45" s="44"/>
      <c r="V45" s="44"/>
      <c r="W45" s="44"/>
      <c r="X45" s="44"/>
      <c r="Y45" s="44"/>
      <c r="Z45" s="44"/>
      <c r="AA45" s="44"/>
      <c r="AB45" s="44"/>
      <c r="AC45" s="44"/>
    </row>
    <row r="46" spans="1:29" ht="12.75" customHeight="1" x14ac:dyDescent="0.25">
      <c r="A46" s="44"/>
      <c r="B46" s="44"/>
      <c r="C46" s="44"/>
      <c r="D46" s="44"/>
      <c r="E46" s="44"/>
      <c r="F46" s="44"/>
      <c r="G46" s="44"/>
      <c r="H46" s="44"/>
      <c r="I46" s="44"/>
      <c r="J46" s="44"/>
      <c r="K46" s="44"/>
      <c r="L46" s="44"/>
      <c r="M46" s="44"/>
      <c r="N46" s="44"/>
      <c r="O46" s="44"/>
      <c r="P46" s="44"/>
      <c r="Q46" s="44"/>
      <c r="R46" s="44"/>
      <c r="S46" s="44"/>
      <c r="T46" s="44"/>
      <c r="U46" s="44"/>
      <c r="V46" s="44"/>
      <c r="W46" s="44"/>
      <c r="X46" s="44"/>
      <c r="Y46" s="44"/>
      <c r="Z46" s="44"/>
      <c r="AA46" s="44"/>
      <c r="AB46" s="44"/>
      <c r="AC46" s="44"/>
    </row>
    <row r="47" spans="1:29" ht="12.75" customHeight="1" x14ac:dyDescent="0.25">
      <c r="A47" s="44"/>
      <c r="B47" s="44"/>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c r="AC47" s="44"/>
    </row>
    <row r="48" spans="1:29" ht="12.75" customHeight="1" x14ac:dyDescent="0.25">
      <c r="A48" s="44"/>
      <c r="B48" s="44"/>
      <c r="C48" s="44"/>
      <c r="D48" s="44"/>
      <c r="E48" s="44"/>
      <c r="F48" s="44"/>
      <c r="G48" s="44"/>
      <c r="H48" s="44"/>
      <c r="I48" s="44"/>
      <c r="J48" s="44"/>
      <c r="K48" s="44"/>
      <c r="L48" s="44"/>
      <c r="M48" s="44"/>
      <c r="N48" s="44"/>
      <c r="O48" s="44"/>
      <c r="P48" s="44"/>
      <c r="Q48" s="44"/>
      <c r="R48" s="44"/>
      <c r="S48" s="44"/>
      <c r="T48" s="44"/>
      <c r="U48" s="44"/>
      <c r="V48" s="44"/>
      <c r="W48" s="44"/>
      <c r="X48" s="44"/>
      <c r="Y48" s="44"/>
      <c r="Z48" s="44"/>
      <c r="AA48" s="44"/>
      <c r="AB48" s="44"/>
      <c r="AC48" s="44"/>
    </row>
    <row r="49" spans="1:29" ht="18.75" customHeight="1" x14ac:dyDescent="0.25">
      <c r="A49" s="44"/>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c r="AC49" s="44"/>
    </row>
  </sheetData>
  <sheetProtection sheet="1" objects="1" scenarios="1" selectLockedCells="1" selectUnlockedCells="1"/>
  <mergeCells count="1">
    <mergeCell ref="A28:AC44"/>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S62"/>
  <sheetViews>
    <sheetView workbookViewId="0">
      <selection activeCell="A2" sqref="A2:BS62"/>
    </sheetView>
  </sheetViews>
  <sheetFormatPr defaultRowHeight="13.2" x14ac:dyDescent="0.25"/>
  <cols>
    <col min="3" max="3" width="10.5546875" customWidth="1"/>
    <col min="4" max="4" width="10.109375" customWidth="1"/>
    <col min="5" max="5" width="12" customWidth="1"/>
    <col min="8" max="8" width="13.33203125" customWidth="1"/>
    <col min="9" max="9" width="12.77734375" customWidth="1"/>
    <col min="10" max="10" width="13.44140625" customWidth="1"/>
    <col min="11" max="11" width="14.33203125" customWidth="1"/>
    <col min="12" max="12" width="21.44140625" customWidth="1"/>
    <col min="13" max="13" width="25.44140625" customWidth="1"/>
    <col min="14" max="14" width="14.88671875" customWidth="1"/>
    <col min="17" max="22" width="34.21875" customWidth="1"/>
    <col min="23" max="23" width="32.44140625" customWidth="1"/>
    <col min="24" max="24" width="34.21875" customWidth="1"/>
    <col min="25" max="25" width="27.44140625" customWidth="1"/>
    <col min="26" max="32" width="34.21875" customWidth="1"/>
    <col min="33" max="33" width="31.88671875" customWidth="1"/>
    <col min="34" max="34" width="34.21875" customWidth="1"/>
    <col min="35" max="35" width="26.88671875" customWidth="1"/>
    <col min="36" max="37" width="34.21875" customWidth="1"/>
    <col min="38" max="38" width="34" customWidth="1"/>
    <col min="39" max="45" width="34.21875" customWidth="1"/>
    <col min="46" max="46" width="34.109375" customWidth="1"/>
    <col min="47" max="47" width="30.21875" customWidth="1"/>
    <col min="48" max="49" width="34.21875" customWidth="1"/>
    <col min="50" max="50" width="28.5546875" customWidth="1"/>
    <col min="51" max="53" width="34.21875" customWidth="1"/>
    <col min="54" max="54" width="33.5546875" customWidth="1"/>
    <col min="55" max="55" width="29.77734375" customWidth="1"/>
    <col min="56" max="57" width="34.21875" customWidth="1"/>
    <col min="58" max="58" width="28" customWidth="1"/>
    <col min="59" max="59" width="31.44140625" customWidth="1"/>
    <col min="60" max="60" width="34.109375" customWidth="1"/>
    <col min="61" max="61" width="24.88671875" customWidth="1"/>
    <col min="62" max="62" width="25.33203125" customWidth="1"/>
    <col min="63" max="63" width="31.88671875" customWidth="1"/>
    <col min="64" max="64" width="31.109375" customWidth="1"/>
    <col min="65" max="67" width="34.21875" customWidth="1"/>
    <col min="68" max="68" width="29.109375" customWidth="1"/>
    <col min="69" max="69" width="25.21875" customWidth="1"/>
    <col min="70" max="70" width="31.44140625" customWidth="1"/>
    <col min="71" max="71" width="34.21875" customWidth="1"/>
  </cols>
  <sheetData>
    <row r="1" spans="1:71" x14ac:dyDescent="0.25">
      <c r="A1" t="s">
        <v>129</v>
      </c>
      <c r="B1" t="s">
        <v>130</v>
      </c>
      <c r="C1" t="s">
        <v>31</v>
      </c>
      <c r="D1" t="s">
        <v>131</v>
      </c>
      <c r="E1" t="s">
        <v>36</v>
      </c>
      <c r="F1" t="s">
        <v>132</v>
      </c>
      <c r="G1" t="s">
        <v>133</v>
      </c>
      <c r="H1" t="s">
        <v>134</v>
      </c>
      <c r="I1" t="s">
        <v>0</v>
      </c>
      <c r="J1" t="s">
        <v>30</v>
      </c>
      <c r="K1" t="s">
        <v>135</v>
      </c>
      <c r="L1" t="s">
        <v>136</v>
      </c>
      <c r="M1" t="s">
        <v>137</v>
      </c>
      <c r="N1" t="s">
        <v>138</v>
      </c>
      <c r="O1" t="s">
        <v>139</v>
      </c>
      <c r="P1" t="s">
        <v>140</v>
      </c>
      <c r="Q1" t="s">
        <v>141</v>
      </c>
      <c r="R1" t="s">
        <v>142</v>
      </c>
      <c r="S1" t="s">
        <v>143</v>
      </c>
      <c r="T1" t="s">
        <v>144</v>
      </c>
      <c r="U1" t="s">
        <v>145</v>
      </c>
      <c r="V1" t="s">
        <v>146</v>
      </c>
      <c r="W1" t="s">
        <v>147</v>
      </c>
      <c r="X1" t="s">
        <v>148</v>
      </c>
      <c r="Y1" t="s">
        <v>149</v>
      </c>
      <c r="Z1" t="s">
        <v>150</v>
      </c>
      <c r="AA1" t="s">
        <v>151</v>
      </c>
      <c r="AB1" t="s">
        <v>152</v>
      </c>
      <c r="AC1" t="s">
        <v>153</v>
      </c>
      <c r="AD1" t="s">
        <v>154</v>
      </c>
      <c r="AE1" t="s">
        <v>155</v>
      </c>
      <c r="AF1" t="s">
        <v>156</v>
      </c>
      <c r="AG1" t="s">
        <v>157</v>
      </c>
      <c r="AH1" t="s">
        <v>158</v>
      </c>
      <c r="AI1" t="s">
        <v>159</v>
      </c>
      <c r="AJ1" t="s">
        <v>160</v>
      </c>
      <c r="AK1" t="s">
        <v>161</v>
      </c>
      <c r="AL1" t="s">
        <v>162</v>
      </c>
      <c r="AM1" t="s">
        <v>163</v>
      </c>
      <c r="AN1" t="s">
        <v>164</v>
      </c>
      <c r="AO1" t="s">
        <v>165</v>
      </c>
      <c r="AP1" t="s">
        <v>166</v>
      </c>
      <c r="AQ1" t="s">
        <v>167</v>
      </c>
      <c r="AR1" t="s">
        <v>168</v>
      </c>
      <c r="AS1" t="s">
        <v>169</v>
      </c>
      <c r="AT1" t="s">
        <v>170</v>
      </c>
      <c r="AU1" t="s">
        <v>171</v>
      </c>
      <c r="AV1" t="s">
        <v>172</v>
      </c>
      <c r="AW1" t="s">
        <v>173</v>
      </c>
      <c r="AX1" t="s">
        <v>174</v>
      </c>
      <c r="AY1" t="s">
        <v>175</v>
      </c>
      <c r="AZ1" t="s">
        <v>176</v>
      </c>
      <c r="BA1" t="s">
        <v>177</v>
      </c>
      <c r="BB1" t="s">
        <v>178</v>
      </c>
      <c r="BC1" t="s">
        <v>179</v>
      </c>
      <c r="BD1" t="s">
        <v>180</v>
      </c>
      <c r="BE1" t="s">
        <v>181</v>
      </c>
      <c r="BF1" t="s">
        <v>182</v>
      </c>
      <c r="BG1" t="s">
        <v>183</v>
      </c>
      <c r="BH1" t="s">
        <v>184</v>
      </c>
      <c r="BI1" t="s">
        <v>185</v>
      </c>
      <c r="BJ1" t="s">
        <v>186</v>
      </c>
      <c r="BK1" t="s">
        <v>187</v>
      </c>
      <c r="BL1" t="s">
        <v>188</v>
      </c>
      <c r="BM1" t="s">
        <v>189</v>
      </c>
      <c r="BN1" t="s">
        <v>190</v>
      </c>
      <c r="BO1" t="s">
        <v>191</v>
      </c>
      <c r="BP1" t="s">
        <v>192</v>
      </c>
      <c r="BQ1" t="s">
        <v>193</v>
      </c>
      <c r="BR1" t="s">
        <v>194</v>
      </c>
      <c r="BS1" t="s">
        <v>195</v>
      </c>
    </row>
    <row r="2" spans="1:71" x14ac:dyDescent="0.25">
      <c r="A2">
        <v>1</v>
      </c>
      <c r="B2" t="s">
        <v>196</v>
      </c>
      <c r="C2" t="s">
        <v>197</v>
      </c>
      <c r="D2" t="s">
        <v>198</v>
      </c>
      <c r="E2" t="s">
        <v>199</v>
      </c>
      <c r="F2" t="s">
        <v>2</v>
      </c>
      <c r="G2" t="s">
        <v>200</v>
      </c>
      <c r="I2" t="s">
        <v>201</v>
      </c>
      <c r="K2" t="s">
        <v>202</v>
      </c>
      <c r="L2" t="s">
        <v>203</v>
      </c>
      <c r="M2" t="s">
        <v>204</v>
      </c>
      <c r="N2" t="s">
        <v>205</v>
      </c>
      <c r="O2" t="s">
        <v>23</v>
      </c>
      <c r="P2" t="s">
        <v>206</v>
      </c>
      <c r="Q2" t="s">
        <v>15</v>
      </c>
      <c r="R2" t="s">
        <v>32</v>
      </c>
      <c r="S2" t="s">
        <v>32</v>
      </c>
      <c r="T2" t="s">
        <v>207</v>
      </c>
      <c r="U2" t="s">
        <v>208</v>
      </c>
      <c r="V2" t="s">
        <v>209</v>
      </c>
      <c r="W2" t="s">
        <v>210</v>
      </c>
      <c r="X2" t="s">
        <v>211</v>
      </c>
      <c r="Y2" t="s">
        <v>212</v>
      </c>
      <c r="Z2" t="s">
        <v>213</v>
      </c>
      <c r="AA2" t="s">
        <v>214</v>
      </c>
      <c r="AB2" t="s">
        <v>215</v>
      </c>
      <c r="AC2" t="s">
        <v>216</v>
      </c>
      <c r="AD2" t="s">
        <v>217</v>
      </c>
      <c r="AE2" t="s">
        <v>218</v>
      </c>
      <c r="AF2" t="s">
        <v>219</v>
      </c>
      <c r="AG2" t="s">
        <v>32</v>
      </c>
      <c r="AH2" t="s">
        <v>32</v>
      </c>
      <c r="AI2" t="s">
        <v>32</v>
      </c>
      <c r="AJ2" t="s">
        <v>220</v>
      </c>
      <c r="AK2" t="s">
        <v>221</v>
      </c>
      <c r="AL2" t="s">
        <v>222</v>
      </c>
      <c r="AM2" t="s">
        <v>223</v>
      </c>
      <c r="AN2" t="s">
        <v>224</v>
      </c>
      <c r="AO2" t="s">
        <v>32</v>
      </c>
      <c r="AP2" t="s">
        <v>225</v>
      </c>
      <c r="AQ2" t="s">
        <v>226</v>
      </c>
      <c r="AR2" t="s">
        <v>227</v>
      </c>
      <c r="AS2" t="s">
        <v>228</v>
      </c>
      <c r="AT2" t="s">
        <v>229</v>
      </c>
      <c r="AU2" t="s">
        <v>230</v>
      </c>
      <c r="AV2" t="s">
        <v>231</v>
      </c>
      <c r="AW2" t="s">
        <v>232</v>
      </c>
      <c r="AX2" t="s">
        <v>233</v>
      </c>
      <c r="AY2" t="s">
        <v>234</v>
      </c>
      <c r="AZ2" t="s">
        <v>235</v>
      </c>
      <c r="BA2" t="s">
        <v>236</v>
      </c>
      <c r="BB2" t="s">
        <v>237</v>
      </c>
      <c r="BC2" t="s">
        <v>238</v>
      </c>
      <c r="BD2" t="s">
        <v>239</v>
      </c>
      <c r="BE2" t="s">
        <v>240</v>
      </c>
      <c r="BF2" t="s">
        <v>241</v>
      </c>
      <c r="BG2" t="s">
        <v>242</v>
      </c>
      <c r="BH2" t="s">
        <v>243</v>
      </c>
      <c r="BI2" t="s">
        <v>244</v>
      </c>
      <c r="BJ2" t="s">
        <v>245</v>
      </c>
      <c r="BK2" t="s">
        <v>32</v>
      </c>
      <c r="BL2" t="s">
        <v>32</v>
      </c>
      <c r="BM2" t="s">
        <v>15</v>
      </c>
      <c r="BN2" t="s">
        <v>32</v>
      </c>
      <c r="BO2" t="s">
        <v>32</v>
      </c>
      <c r="BP2" t="s">
        <v>32</v>
      </c>
      <c r="BQ2" t="s">
        <v>32</v>
      </c>
      <c r="BR2" t="s">
        <v>15</v>
      </c>
      <c r="BS2" t="s">
        <v>246</v>
      </c>
    </row>
    <row r="3" spans="1:71" x14ac:dyDescent="0.25">
      <c r="A3">
        <v>2</v>
      </c>
      <c r="B3" t="s">
        <v>247</v>
      </c>
      <c r="C3" t="s">
        <v>248</v>
      </c>
      <c r="D3" t="s">
        <v>198</v>
      </c>
      <c r="E3" t="s">
        <v>199</v>
      </c>
      <c r="F3" t="s">
        <v>2</v>
      </c>
      <c r="G3" t="s">
        <v>200</v>
      </c>
      <c r="I3" t="s">
        <v>249</v>
      </c>
      <c r="K3" t="s">
        <v>202</v>
      </c>
      <c r="L3" t="s">
        <v>250</v>
      </c>
      <c r="M3" t="s">
        <v>251</v>
      </c>
      <c r="N3" t="s">
        <v>252</v>
      </c>
      <c r="O3" t="s">
        <v>23</v>
      </c>
      <c r="P3" t="s">
        <v>206</v>
      </c>
      <c r="Q3" t="s">
        <v>15</v>
      </c>
      <c r="R3" t="s">
        <v>32</v>
      </c>
      <c r="S3" t="s">
        <v>32</v>
      </c>
      <c r="T3" t="s">
        <v>207</v>
      </c>
      <c r="U3" t="s">
        <v>208</v>
      </c>
      <c r="V3" t="s">
        <v>209</v>
      </c>
      <c r="W3" t="s">
        <v>210</v>
      </c>
      <c r="X3" t="s">
        <v>211</v>
      </c>
      <c r="Y3" t="s">
        <v>212</v>
      </c>
      <c r="Z3" t="s">
        <v>213</v>
      </c>
      <c r="AA3" t="s">
        <v>214</v>
      </c>
      <c r="AB3" t="s">
        <v>215</v>
      </c>
      <c r="AC3" t="s">
        <v>216</v>
      </c>
      <c r="AD3" t="s">
        <v>217</v>
      </c>
      <c r="AE3" t="s">
        <v>218</v>
      </c>
      <c r="AF3" t="s">
        <v>219</v>
      </c>
      <c r="AG3" t="s">
        <v>32</v>
      </c>
      <c r="AH3" t="s">
        <v>32</v>
      </c>
      <c r="AI3" t="s">
        <v>32</v>
      </c>
      <c r="AJ3" t="s">
        <v>220</v>
      </c>
      <c r="AK3" t="s">
        <v>221</v>
      </c>
      <c r="AL3" t="s">
        <v>222</v>
      </c>
      <c r="AM3" t="s">
        <v>223</v>
      </c>
      <c r="AN3" t="s">
        <v>224</v>
      </c>
      <c r="AO3" t="s">
        <v>32</v>
      </c>
      <c r="AP3" t="s">
        <v>225</v>
      </c>
      <c r="AQ3" t="s">
        <v>226</v>
      </c>
      <c r="AR3" t="s">
        <v>227</v>
      </c>
      <c r="AS3" t="s">
        <v>228</v>
      </c>
      <c r="AT3" t="s">
        <v>229</v>
      </c>
      <c r="AU3" t="s">
        <v>230</v>
      </c>
      <c r="AV3" t="s">
        <v>231</v>
      </c>
      <c r="AW3" t="s">
        <v>232</v>
      </c>
      <c r="AX3" t="s">
        <v>233</v>
      </c>
      <c r="AY3" t="s">
        <v>234</v>
      </c>
      <c r="AZ3" t="s">
        <v>235</v>
      </c>
      <c r="BA3" t="s">
        <v>236</v>
      </c>
      <c r="BB3" t="s">
        <v>237</v>
      </c>
      <c r="BC3" t="s">
        <v>238</v>
      </c>
      <c r="BD3" t="s">
        <v>239</v>
      </c>
      <c r="BE3" t="s">
        <v>240</v>
      </c>
      <c r="BF3" t="s">
        <v>241</v>
      </c>
      <c r="BG3" t="s">
        <v>242</v>
      </c>
      <c r="BH3" t="s">
        <v>243</v>
      </c>
      <c r="BI3" t="s">
        <v>244</v>
      </c>
      <c r="BJ3" t="s">
        <v>245</v>
      </c>
      <c r="BK3" t="s">
        <v>32</v>
      </c>
      <c r="BL3" t="s">
        <v>32</v>
      </c>
      <c r="BM3" t="s">
        <v>15</v>
      </c>
      <c r="BN3" t="s">
        <v>32</v>
      </c>
      <c r="BO3" t="s">
        <v>32</v>
      </c>
      <c r="BP3" t="s">
        <v>32</v>
      </c>
      <c r="BQ3" t="s">
        <v>32</v>
      </c>
      <c r="BR3" t="s">
        <v>15</v>
      </c>
      <c r="BS3" t="s">
        <v>246</v>
      </c>
    </row>
    <row r="4" spans="1:71" x14ac:dyDescent="0.25">
      <c r="A4">
        <v>3</v>
      </c>
      <c r="B4" t="s">
        <v>253</v>
      </c>
      <c r="C4" t="s">
        <v>254</v>
      </c>
      <c r="D4" t="s">
        <v>198</v>
      </c>
      <c r="E4" t="s">
        <v>199</v>
      </c>
      <c r="F4" t="s">
        <v>2</v>
      </c>
      <c r="G4" t="s">
        <v>200</v>
      </c>
      <c r="I4" t="s">
        <v>255</v>
      </c>
      <c r="K4" t="s">
        <v>202</v>
      </c>
      <c r="L4" t="s">
        <v>256</v>
      </c>
      <c r="M4" t="s">
        <v>257</v>
      </c>
      <c r="N4" t="s">
        <v>258</v>
      </c>
      <c r="O4" t="s">
        <v>23</v>
      </c>
      <c r="P4" t="s">
        <v>206</v>
      </c>
      <c r="Q4" t="s">
        <v>15</v>
      </c>
      <c r="R4" t="s">
        <v>32</v>
      </c>
      <c r="S4" t="s">
        <v>32</v>
      </c>
      <c r="T4" t="s">
        <v>207</v>
      </c>
      <c r="U4" t="s">
        <v>208</v>
      </c>
      <c r="V4" t="s">
        <v>209</v>
      </c>
      <c r="W4" t="s">
        <v>210</v>
      </c>
      <c r="X4" t="s">
        <v>211</v>
      </c>
      <c r="Y4" t="s">
        <v>212</v>
      </c>
      <c r="Z4" t="s">
        <v>213</v>
      </c>
      <c r="AA4" t="s">
        <v>214</v>
      </c>
      <c r="AB4" t="s">
        <v>215</v>
      </c>
      <c r="AC4" t="s">
        <v>216</v>
      </c>
      <c r="AD4" t="s">
        <v>217</v>
      </c>
      <c r="AE4" t="s">
        <v>218</v>
      </c>
      <c r="AF4" t="s">
        <v>219</v>
      </c>
      <c r="AG4" t="s">
        <v>32</v>
      </c>
      <c r="AH4" t="s">
        <v>32</v>
      </c>
      <c r="AI4" t="s">
        <v>32</v>
      </c>
      <c r="AJ4" t="s">
        <v>220</v>
      </c>
      <c r="AK4" t="s">
        <v>221</v>
      </c>
      <c r="AL4" t="s">
        <v>222</v>
      </c>
      <c r="AM4" t="s">
        <v>223</v>
      </c>
      <c r="AN4" t="s">
        <v>224</v>
      </c>
      <c r="AO4" t="s">
        <v>32</v>
      </c>
      <c r="AP4" t="s">
        <v>225</v>
      </c>
      <c r="AQ4" t="s">
        <v>226</v>
      </c>
      <c r="AR4" t="s">
        <v>227</v>
      </c>
      <c r="AS4" t="s">
        <v>228</v>
      </c>
      <c r="AT4" t="s">
        <v>229</v>
      </c>
      <c r="AU4" t="s">
        <v>230</v>
      </c>
      <c r="AV4" t="s">
        <v>231</v>
      </c>
      <c r="AW4" t="s">
        <v>232</v>
      </c>
      <c r="AX4" t="s">
        <v>233</v>
      </c>
      <c r="AY4" t="s">
        <v>234</v>
      </c>
      <c r="AZ4" t="s">
        <v>235</v>
      </c>
      <c r="BA4" t="s">
        <v>236</v>
      </c>
      <c r="BB4" t="s">
        <v>237</v>
      </c>
      <c r="BC4" t="s">
        <v>238</v>
      </c>
      <c r="BD4" t="s">
        <v>239</v>
      </c>
      <c r="BE4" t="s">
        <v>240</v>
      </c>
      <c r="BF4" t="s">
        <v>241</v>
      </c>
      <c r="BG4" t="s">
        <v>242</v>
      </c>
      <c r="BH4" t="s">
        <v>243</v>
      </c>
      <c r="BI4" t="s">
        <v>244</v>
      </c>
      <c r="BJ4" t="s">
        <v>245</v>
      </c>
      <c r="BK4" t="s">
        <v>32</v>
      </c>
      <c r="BL4" t="s">
        <v>32</v>
      </c>
      <c r="BM4" t="s">
        <v>15</v>
      </c>
      <c r="BN4" t="s">
        <v>32</v>
      </c>
      <c r="BO4" t="s">
        <v>32</v>
      </c>
      <c r="BP4" t="s">
        <v>32</v>
      </c>
      <c r="BQ4" t="s">
        <v>32</v>
      </c>
      <c r="BR4" t="s">
        <v>15</v>
      </c>
      <c r="BS4" t="s">
        <v>246</v>
      </c>
    </row>
    <row r="5" spans="1:71" x14ac:dyDescent="0.25">
      <c r="A5">
        <v>4</v>
      </c>
      <c r="B5" t="s">
        <v>259</v>
      </c>
      <c r="C5" t="s">
        <v>260</v>
      </c>
      <c r="D5" t="s">
        <v>198</v>
      </c>
      <c r="E5" t="s">
        <v>199</v>
      </c>
      <c r="F5" t="s">
        <v>2</v>
      </c>
      <c r="G5" t="s">
        <v>200</v>
      </c>
      <c r="I5" t="s">
        <v>261</v>
      </c>
      <c r="K5" t="s">
        <v>202</v>
      </c>
      <c r="L5" t="s">
        <v>262</v>
      </c>
      <c r="M5" t="s">
        <v>263</v>
      </c>
      <c r="N5" t="s">
        <v>264</v>
      </c>
      <c r="O5" t="s">
        <v>23</v>
      </c>
      <c r="P5" t="s">
        <v>206</v>
      </c>
      <c r="Q5" t="s">
        <v>15</v>
      </c>
      <c r="R5" t="s">
        <v>32</v>
      </c>
      <c r="S5" t="s">
        <v>32</v>
      </c>
      <c r="T5" t="s">
        <v>207</v>
      </c>
      <c r="U5" t="s">
        <v>208</v>
      </c>
      <c r="V5" t="s">
        <v>209</v>
      </c>
      <c r="W5" t="s">
        <v>210</v>
      </c>
      <c r="X5" t="s">
        <v>211</v>
      </c>
      <c r="Y5" t="s">
        <v>212</v>
      </c>
      <c r="Z5" t="s">
        <v>213</v>
      </c>
      <c r="AA5" t="s">
        <v>214</v>
      </c>
      <c r="AB5" t="s">
        <v>215</v>
      </c>
      <c r="AC5" t="s">
        <v>216</v>
      </c>
      <c r="AD5" t="s">
        <v>217</v>
      </c>
      <c r="AE5" t="s">
        <v>218</v>
      </c>
      <c r="AF5" t="s">
        <v>219</v>
      </c>
      <c r="AG5" t="s">
        <v>32</v>
      </c>
      <c r="AH5" t="s">
        <v>32</v>
      </c>
      <c r="AI5" t="s">
        <v>32</v>
      </c>
      <c r="AJ5" t="s">
        <v>220</v>
      </c>
      <c r="AK5" t="s">
        <v>221</v>
      </c>
      <c r="AL5" t="s">
        <v>222</v>
      </c>
      <c r="AM5" t="s">
        <v>223</v>
      </c>
      <c r="AN5" t="s">
        <v>224</v>
      </c>
      <c r="AO5" t="s">
        <v>32</v>
      </c>
      <c r="AP5" t="s">
        <v>225</v>
      </c>
      <c r="AQ5" t="s">
        <v>226</v>
      </c>
      <c r="AR5" t="s">
        <v>227</v>
      </c>
      <c r="AS5" t="s">
        <v>228</v>
      </c>
      <c r="AT5" t="s">
        <v>229</v>
      </c>
      <c r="AU5" t="s">
        <v>230</v>
      </c>
      <c r="AV5" t="s">
        <v>231</v>
      </c>
      <c r="AW5" t="s">
        <v>232</v>
      </c>
      <c r="AX5" t="s">
        <v>233</v>
      </c>
      <c r="AY5" t="s">
        <v>234</v>
      </c>
      <c r="AZ5" t="s">
        <v>235</v>
      </c>
      <c r="BA5" t="s">
        <v>236</v>
      </c>
      <c r="BB5" t="s">
        <v>237</v>
      </c>
      <c r="BC5" t="s">
        <v>238</v>
      </c>
      <c r="BD5" t="s">
        <v>239</v>
      </c>
      <c r="BE5" t="s">
        <v>240</v>
      </c>
      <c r="BF5" t="s">
        <v>241</v>
      </c>
      <c r="BG5" t="s">
        <v>242</v>
      </c>
      <c r="BH5" t="s">
        <v>243</v>
      </c>
      <c r="BI5" t="s">
        <v>244</v>
      </c>
      <c r="BJ5" t="s">
        <v>245</v>
      </c>
      <c r="BK5" t="s">
        <v>32</v>
      </c>
      <c r="BL5" t="s">
        <v>32</v>
      </c>
      <c r="BM5" t="s">
        <v>15</v>
      </c>
      <c r="BN5" t="s">
        <v>32</v>
      </c>
      <c r="BO5" t="s">
        <v>32</v>
      </c>
      <c r="BP5" t="s">
        <v>32</v>
      </c>
      <c r="BQ5" t="s">
        <v>32</v>
      </c>
      <c r="BR5" t="s">
        <v>15</v>
      </c>
      <c r="BS5" t="s">
        <v>246</v>
      </c>
    </row>
    <row r="6" spans="1:71" x14ac:dyDescent="0.25">
      <c r="A6">
        <v>5</v>
      </c>
      <c r="B6" t="s">
        <v>265</v>
      </c>
      <c r="C6" t="s">
        <v>266</v>
      </c>
      <c r="D6" t="s">
        <v>198</v>
      </c>
      <c r="E6" t="s">
        <v>199</v>
      </c>
      <c r="F6" t="s">
        <v>2</v>
      </c>
      <c r="G6" t="s">
        <v>200</v>
      </c>
      <c r="I6" t="s">
        <v>267</v>
      </c>
      <c r="K6" t="s">
        <v>202</v>
      </c>
      <c r="L6" t="s">
        <v>268</v>
      </c>
      <c r="M6" t="s">
        <v>269</v>
      </c>
      <c r="N6" t="s">
        <v>270</v>
      </c>
      <c r="O6" t="s">
        <v>23</v>
      </c>
      <c r="P6" t="s">
        <v>206</v>
      </c>
      <c r="Q6" t="s">
        <v>15</v>
      </c>
      <c r="R6" t="s">
        <v>32</v>
      </c>
      <c r="S6" t="s">
        <v>32</v>
      </c>
      <c r="T6" t="s">
        <v>207</v>
      </c>
      <c r="U6" t="s">
        <v>208</v>
      </c>
      <c r="V6" t="s">
        <v>209</v>
      </c>
      <c r="W6" t="s">
        <v>210</v>
      </c>
      <c r="X6" t="s">
        <v>211</v>
      </c>
      <c r="Y6" t="s">
        <v>212</v>
      </c>
      <c r="Z6" t="s">
        <v>213</v>
      </c>
      <c r="AA6" t="s">
        <v>214</v>
      </c>
      <c r="AB6" t="s">
        <v>215</v>
      </c>
      <c r="AC6" t="s">
        <v>216</v>
      </c>
      <c r="AD6" t="s">
        <v>217</v>
      </c>
      <c r="AE6" t="s">
        <v>218</v>
      </c>
      <c r="AF6" t="s">
        <v>219</v>
      </c>
      <c r="AG6" t="s">
        <v>32</v>
      </c>
      <c r="AH6" t="s">
        <v>32</v>
      </c>
      <c r="AI6" t="s">
        <v>32</v>
      </c>
      <c r="AJ6" t="s">
        <v>220</v>
      </c>
      <c r="AK6" t="s">
        <v>221</v>
      </c>
      <c r="AL6" t="s">
        <v>222</v>
      </c>
      <c r="AM6" t="s">
        <v>223</v>
      </c>
      <c r="AN6" t="s">
        <v>224</v>
      </c>
      <c r="AO6" t="s">
        <v>32</v>
      </c>
      <c r="AP6" t="s">
        <v>225</v>
      </c>
      <c r="AQ6" t="s">
        <v>226</v>
      </c>
      <c r="AR6" t="s">
        <v>227</v>
      </c>
      <c r="AS6" t="s">
        <v>228</v>
      </c>
      <c r="AT6" t="s">
        <v>229</v>
      </c>
      <c r="AU6" t="s">
        <v>230</v>
      </c>
      <c r="AV6" t="s">
        <v>231</v>
      </c>
      <c r="AW6" t="s">
        <v>232</v>
      </c>
      <c r="AX6" t="s">
        <v>233</v>
      </c>
      <c r="AY6" t="s">
        <v>234</v>
      </c>
      <c r="AZ6" t="s">
        <v>235</v>
      </c>
      <c r="BA6" t="s">
        <v>236</v>
      </c>
      <c r="BB6" t="s">
        <v>237</v>
      </c>
      <c r="BC6" t="s">
        <v>238</v>
      </c>
      <c r="BD6" t="s">
        <v>239</v>
      </c>
      <c r="BE6" t="s">
        <v>240</v>
      </c>
      <c r="BF6" t="s">
        <v>241</v>
      </c>
      <c r="BG6" t="s">
        <v>242</v>
      </c>
      <c r="BH6" t="s">
        <v>243</v>
      </c>
      <c r="BI6" t="s">
        <v>244</v>
      </c>
      <c r="BJ6" t="s">
        <v>245</v>
      </c>
      <c r="BK6" t="s">
        <v>32</v>
      </c>
      <c r="BL6" t="s">
        <v>32</v>
      </c>
      <c r="BM6" t="s">
        <v>15</v>
      </c>
      <c r="BN6" t="s">
        <v>32</v>
      </c>
      <c r="BO6" t="s">
        <v>32</v>
      </c>
      <c r="BP6" t="s">
        <v>32</v>
      </c>
      <c r="BQ6" t="s">
        <v>32</v>
      </c>
      <c r="BR6" t="s">
        <v>15</v>
      </c>
      <c r="BS6" t="s">
        <v>246</v>
      </c>
    </row>
    <row r="7" spans="1:71" x14ac:dyDescent="0.25">
      <c r="A7">
        <v>6</v>
      </c>
      <c r="B7" t="s">
        <v>271</v>
      </c>
      <c r="C7" t="s">
        <v>272</v>
      </c>
      <c r="D7" t="s">
        <v>198</v>
      </c>
      <c r="E7" t="s">
        <v>199</v>
      </c>
      <c r="F7" t="s">
        <v>2</v>
      </c>
      <c r="G7" t="s">
        <v>200</v>
      </c>
      <c r="I7" t="s">
        <v>273</v>
      </c>
      <c r="K7" t="s">
        <v>202</v>
      </c>
      <c r="L7" t="s">
        <v>274</v>
      </c>
      <c r="M7" t="s">
        <v>275</v>
      </c>
      <c r="N7" t="s">
        <v>276</v>
      </c>
      <c r="O7" t="s">
        <v>23</v>
      </c>
      <c r="P7" t="s">
        <v>206</v>
      </c>
      <c r="Q7" t="s">
        <v>15</v>
      </c>
      <c r="R7" t="s">
        <v>32</v>
      </c>
      <c r="S7" t="s">
        <v>32</v>
      </c>
      <c r="T7" t="s">
        <v>207</v>
      </c>
      <c r="U7" t="s">
        <v>208</v>
      </c>
      <c r="V7" t="s">
        <v>209</v>
      </c>
      <c r="W7" t="s">
        <v>210</v>
      </c>
      <c r="X7" t="s">
        <v>211</v>
      </c>
      <c r="Y7" t="s">
        <v>212</v>
      </c>
      <c r="Z7" t="s">
        <v>213</v>
      </c>
      <c r="AA7" t="s">
        <v>214</v>
      </c>
      <c r="AB7" t="s">
        <v>215</v>
      </c>
      <c r="AC7" t="s">
        <v>216</v>
      </c>
      <c r="AD7" t="s">
        <v>217</v>
      </c>
      <c r="AE7" t="s">
        <v>218</v>
      </c>
      <c r="AF7" t="s">
        <v>219</v>
      </c>
      <c r="AG7" t="s">
        <v>32</v>
      </c>
      <c r="AH7" t="s">
        <v>32</v>
      </c>
      <c r="AI7" t="s">
        <v>32</v>
      </c>
      <c r="AJ7" t="s">
        <v>220</v>
      </c>
      <c r="AK7" t="s">
        <v>221</v>
      </c>
      <c r="AL7" t="s">
        <v>222</v>
      </c>
      <c r="AM7" t="s">
        <v>223</v>
      </c>
      <c r="AN7" t="s">
        <v>224</v>
      </c>
      <c r="AO7" t="s">
        <v>32</v>
      </c>
      <c r="AP7" t="s">
        <v>225</v>
      </c>
      <c r="AQ7" t="s">
        <v>226</v>
      </c>
      <c r="AR7" t="s">
        <v>227</v>
      </c>
      <c r="AS7" t="s">
        <v>228</v>
      </c>
      <c r="AT7" t="s">
        <v>229</v>
      </c>
      <c r="AU7" t="s">
        <v>230</v>
      </c>
      <c r="AV7" t="s">
        <v>231</v>
      </c>
      <c r="AW7" t="s">
        <v>232</v>
      </c>
      <c r="AX7" t="s">
        <v>233</v>
      </c>
      <c r="AY7" t="s">
        <v>234</v>
      </c>
      <c r="AZ7" t="s">
        <v>235</v>
      </c>
      <c r="BA7" t="s">
        <v>236</v>
      </c>
      <c r="BB7" t="s">
        <v>237</v>
      </c>
      <c r="BC7" t="s">
        <v>238</v>
      </c>
      <c r="BD7" t="s">
        <v>239</v>
      </c>
      <c r="BE7" t="s">
        <v>240</v>
      </c>
      <c r="BF7" t="s">
        <v>241</v>
      </c>
      <c r="BG7" t="s">
        <v>242</v>
      </c>
      <c r="BH7" t="s">
        <v>243</v>
      </c>
      <c r="BI7" t="s">
        <v>244</v>
      </c>
      <c r="BJ7" t="s">
        <v>245</v>
      </c>
      <c r="BK7" t="s">
        <v>32</v>
      </c>
      <c r="BL7" t="s">
        <v>32</v>
      </c>
      <c r="BM7" t="s">
        <v>15</v>
      </c>
      <c r="BN7" t="s">
        <v>32</v>
      </c>
      <c r="BO7" t="s">
        <v>32</v>
      </c>
      <c r="BP7" t="s">
        <v>32</v>
      </c>
      <c r="BQ7" t="s">
        <v>32</v>
      </c>
      <c r="BR7" t="s">
        <v>15</v>
      </c>
      <c r="BS7" t="s">
        <v>246</v>
      </c>
    </row>
    <row r="8" spans="1:71" x14ac:dyDescent="0.25">
      <c r="A8">
        <v>7</v>
      </c>
      <c r="B8" t="s">
        <v>277</v>
      </c>
      <c r="C8" t="s">
        <v>272</v>
      </c>
      <c r="D8" t="s">
        <v>198</v>
      </c>
      <c r="E8" t="s">
        <v>199</v>
      </c>
      <c r="F8" t="s">
        <v>2</v>
      </c>
      <c r="G8" t="s">
        <v>200</v>
      </c>
      <c r="I8" t="s">
        <v>278</v>
      </c>
      <c r="K8" t="s">
        <v>202</v>
      </c>
      <c r="L8" t="s">
        <v>279</v>
      </c>
      <c r="M8" t="s">
        <v>280</v>
      </c>
      <c r="N8" t="s">
        <v>281</v>
      </c>
      <c r="O8" t="s">
        <v>23</v>
      </c>
      <c r="P8" t="s">
        <v>206</v>
      </c>
      <c r="Q8" t="s">
        <v>15</v>
      </c>
      <c r="R8" t="s">
        <v>32</v>
      </c>
      <c r="S8" t="s">
        <v>32</v>
      </c>
      <c r="T8" t="s">
        <v>207</v>
      </c>
      <c r="U8" t="s">
        <v>208</v>
      </c>
      <c r="V8" t="s">
        <v>209</v>
      </c>
      <c r="W8" t="s">
        <v>210</v>
      </c>
      <c r="X8" t="s">
        <v>211</v>
      </c>
      <c r="Y8" t="s">
        <v>212</v>
      </c>
      <c r="Z8" t="s">
        <v>213</v>
      </c>
      <c r="AA8" t="s">
        <v>214</v>
      </c>
      <c r="AB8" t="s">
        <v>215</v>
      </c>
      <c r="AC8" t="s">
        <v>216</v>
      </c>
      <c r="AD8" t="s">
        <v>217</v>
      </c>
      <c r="AE8" t="s">
        <v>218</v>
      </c>
      <c r="AF8" t="s">
        <v>219</v>
      </c>
      <c r="AG8" t="s">
        <v>32</v>
      </c>
      <c r="AH8" t="s">
        <v>32</v>
      </c>
      <c r="AI8" t="s">
        <v>32</v>
      </c>
      <c r="AJ8" t="s">
        <v>220</v>
      </c>
      <c r="AK8" t="s">
        <v>221</v>
      </c>
      <c r="AL8" t="s">
        <v>222</v>
      </c>
      <c r="AM8" t="s">
        <v>223</v>
      </c>
      <c r="AN8" t="s">
        <v>224</v>
      </c>
      <c r="AO8" t="s">
        <v>32</v>
      </c>
      <c r="AP8" t="s">
        <v>225</v>
      </c>
      <c r="AQ8" t="s">
        <v>226</v>
      </c>
      <c r="AR8" t="s">
        <v>227</v>
      </c>
      <c r="AS8" t="s">
        <v>228</v>
      </c>
      <c r="AT8" t="s">
        <v>229</v>
      </c>
      <c r="AU8" t="s">
        <v>230</v>
      </c>
      <c r="AV8" t="s">
        <v>231</v>
      </c>
      <c r="AW8" t="s">
        <v>232</v>
      </c>
      <c r="AX8" t="s">
        <v>233</v>
      </c>
      <c r="AY8" t="s">
        <v>234</v>
      </c>
      <c r="AZ8" t="s">
        <v>235</v>
      </c>
      <c r="BA8" t="s">
        <v>236</v>
      </c>
      <c r="BB8" t="s">
        <v>237</v>
      </c>
      <c r="BC8" t="s">
        <v>238</v>
      </c>
      <c r="BD8" t="s">
        <v>239</v>
      </c>
      <c r="BE8" t="s">
        <v>240</v>
      </c>
      <c r="BF8" t="s">
        <v>241</v>
      </c>
      <c r="BG8" t="s">
        <v>242</v>
      </c>
      <c r="BH8" t="s">
        <v>243</v>
      </c>
      <c r="BI8" t="s">
        <v>244</v>
      </c>
      <c r="BJ8" t="s">
        <v>245</v>
      </c>
      <c r="BK8" t="s">
        <v>32</v>
      </c>
      <c r="BL8" t="s">
        <v>32</v>
      </c>
      <c r="BM8" t="s">
        <v>15</v>
      </c>
      <c r="BN8" t="s">
        <v>32</v>
      </c>
      <c r="BO8" t="s">
        <v>32</v>
      </c>
      <c r="BP8" t="s">
        <v>32</v>
      </c>
      <c r="BQ8" t="s">
        <v>32</v>
      </c>
      <c r="BR8" t="s">
        <v>15</v>
      </c>
      <c r="BS8" t="s">
        <v>246</v>
      </c>
    </row>
    <row r="9" spans="1:71" x14ac:dyDescent="0.25">
      <c r="A9">
        <v>8</v>
      </c>
      <c r="B9" t="s">
        <v>282</v>
      </c>
      <c r="C9" t="s">
        <v>248</v>
      </c>
      <c r="D9" t="s">
        <v>198</v>
      </c>
      <c r="E9" t="s">
        <v>283</v>
      </c>
      <c r="F9" t="s">
        <v>2</v>
      </c>
      <c r="G9" t="s">
        <v>200</v>
      </c>
      <c r="I9" t="s">
        <v>284</v>
      </c>
      <c r="K9" t="s">
        <v>202</v>
      </c>
      <c r="L9" t="s">
        <v>285</v>
      </c>
      <c r="M9" t="s">
        <v>286</v>
      </c>
      <c r="N9" t="s">
        <v>287</v>
      </c>
      <c r="O9" t="s">
        <v>206</v>
      </c>
      <c r="P9" t="s">
        <v>23</v>
      </c>
      <c r="Q9" t="s">
        <v>288</v>
      </c>
      <c r="R9" t="s">
        <v>289</v>
      </c>
      <c r="S9" t="s">
        <v>290</v>
      </c>
      <c r="T9" t="s">
        <v>15</v>
      </c>
      <c r="U9" t="s">
        <v>32</v>
      </c>
      <c r="V9" t="s">
        <v>32</v>
      </c>
      <c r="W9" t="s">
        <v>32</v>
      </c>
      <c r="X9" t="s">
        <v>32</v>
      </c>
      <c r="Y9" t="s">
        <v>32</v>
      </c>
      <c r="Z9" t="s">
        <v>213</v>
      </c>
      <c r="AA9" t="s">
        <v>214</v>
      </c>
      <c r="AB9" t="s">
        <v>215</v>
      </c>
      <c r="AC9" t="s">
        <v>216</v>
      </c>
      <c r="AD9" t="s">
        <v>224</v>
      </c>
      <c r="AE9" t="s">
        <v>32</v>
      </c>
      <c r="AF9" t="s">
        <v>219</v>
      </c>
      <c r="AG9" t="s">
        <v>291</v>
      </c>
      <c r="AH9" t="s">
        <v>292</v>
      </c>
      <c r="AI9" t="s">
        <v>293</v>
      </c>
      <c r="AJ9" t="s">
        <v>220</v>
      </c>
      <c r="AK9" t="s">
        <v>221</v>
      </c>
      <c r="AL9" t="s">
        <v>222</v>
      </c>
      <c r="AM9" t="s">
        <v>223</v>
      </c>
      <c r="AN9" t="s">
        <v>294</v>
      </c>
      <c r="AO9" t="s">
        <v>295</v>
      </c>
      <c r="AP9" t="s">
        <v>225</v>
      </c>
      <c r="AQ9" t="s">
        <v>226</v>
      </c>
      <c r="AR9" t="s">
        <v>227</v>
      </c>
      <c r="AS9" t="s">
        <v>228</v>
      </c>
      <c r="AT9" t="s">
        <v>229</v>
      </c>
      <c r="AU9" t="s">
        <v>230</v>
      </c>
      <c r="AV9" t="s">
        <v>231</v>
      </c>
      <c r="AW9" t="s">
        <v>232</v>
      </c>
      <c r="AX9" t="s">
        <v>233</v>
      </c>
      <c r="AY9" t="s">
        <v>234</v>
      </c>
      <c r="AZ9" t="s">
        <v>235</v>
      </c>
      <c r="BA9" t="s">
        <v>236</v>
      </c>
      <c r="BB9" t="s">
        <v>237</v>
      </c>
      <c r="BC9" t="s">
        <v>238</v>
      </c>
      <c r="BD9" t="s">
        <v>239</v>
      </c>
      <c r="BE9" t="s">
        <v>240</v>
      </c>
      <c r="BF9" t="s">
        <v>241</v>
      </c>
      <c r="BG9" t="s">
        <v>296</v>
      </c>
      <c r="BH9" t="s">
        <v>243</v>
      </c>
      <c r="BI9" t="s">
        <v>244</v>
      </c>
      <c r="BJ9" t="s">
        <v>245</v>
      </c>
      <c r="BK9" t="s">
        <v>32</v>
      </c>
      <c r="BL9" t="s">
        <v>32</v>
      </c>
      <c r="BM9" t="s">
        <v>15</v>
      </c>
      <c r="BN9" t="s">
        <v>32</v>
      </c>
      <c r="BO9" t="s">
        <v>32</v>
      </c>
      <c r="BP9" t="s">
        <v>32</v>
      </c>
      <c r="BQ9" t="s">
        <v>32</v>
      </c>
      <c r="BR9" t="s">
        <v>15</v>
      </c>
      <c r="BS9" t="s">
        <v>246</v>
      </c>
    </row>
    <row r="10" spans="1:71" x14ac:dyDescent="0.25">
      <c r="A10">
        <v>29</v>
      </c>
      <c r="B10" t="s">
        <v>354</v>
      </c>
      <c r="C10" t="s">
        <v>197</v>
      </c>
      <c r="D10" t="s">
        <v>198</v>
      </c>
      <c r="E10" t="s">
        <v>355</v>
      </c>
      <c r="F10" t="s">
        <v>2</v>
      </c>
      <c r="G10" t="s">
        <v>200</v>
      </c>
      <c r="I10" t="s">
        <v>356</v>
      </c>
      <c r="K10" t="s">
        <v>202</v>
      </c>
      <c r="L10" t="s">
        <v>330</v>
      </c>
      <c r="M10" t="s">
        <v>331</v>
      </c>
      <c r="N10" t="s">
        <v>205</v>
      </c>
      <c r="O10" t="s">
        <v>357</v>
      </c>
      <c r="P10" t="s">
        <v>357</v>
      </c>
      <c r="Q10" t="s">
        <v>288</v>
      </c>
      <c r="R10" t="s">
        <v>289</v>
      </c>
      <c r="S10" t="s">
        <v>290</v>
      </c>
      <c r="T10" t="s">
        <v>207</v>
      </c>
      <c r="U10" t="s">
        <v>208</v>
      </c>
      <c r="V10" t="s">
        <v>209</v>
      </c>
      <c r="W10" t="s">
        <v>32</v>
      </c>
      <c r="X10" t="s">
        <v>32</v>
      </c>
      <c r="Y10" t="s">
        <v>32</v>
      </c>
      <c r="Z10" t="s">
        <v>305</v>
      </c>
      <c r="AA10" t="s">
        <v>214</v>
      </c>
      <c r="AB10" t="s">
        <v>215</v>
      </c>
      <c r="AC10" t="s">
        <v>216</v>
      </c>
      <c r="AD10" t="s">
        <v>217</v>
      </c>
      <c r="AE10" t="s">
        <v>218</v>
      </c>
      <c r="AF10" t="s">
        <v>219</v>
      </c>
      <c r="AG10" t="s">
        <v>32</v>
      </c>
      <c r="AH10" t="s">
        <v>32</v>
      </c>
      <c r="AI10" t="s">
        <v>32</v>
      </c>
      <c r="AJ10" t="s">
        <v>305</v>
      </c>
      <c r="AK10" t="s">
        <v>221</v>
      </c>
      <c r="AL10" t="s">
        <v>222</v>
      </c>
      <c r="AM10" t="s">
        <v>223</v>
      </c>
      <c r="AN10" t="s">
        <v>294</v>
      </c>
      <c r="AO10" t="s">
        <v>295</v>
      </c>
      <c r="AP10" t="s">
        <v>225</v>
      </c>
      <c r="AQ10" t="s">
        <v>226</v>
      </c>
      <c r="AR10" t="s">
        <v>227</v>
      </c>
      <c r="AS10" t="s">
        <v>228</v>
      </c>
      <c r="AT10" t="s">
        <v>229</v>
      </c>
      <c r="AU10" t="s">
        <v>230</v>
      </c>
      <c r="AV10" t="s">
        <v>231</v>
      </c>
      <c r="AW10" t="s">
        <v>232</v>
      </c>
      <c r="AX10" t="s">
        <v>233</v>
      </c>
      <c r="AY10" t="s">
        <v>234</v>
      </c>
      <c r="AZ10" t="s">
        <v>235</v>
      </c>
      <c r="BA10" t="s">
        <v>236</v>
      </c>
      <c r="BB10" t="s">
        <v>237</v>
      </c>
      <c r="BC10" t="s">
        <v>238</v>
      </c>
      <c r="BD10" t="s">
        <v>239</v>
      </c>
      <c r="BE10" t="s">
        <v>240</v>
      </c>
      <c r="BF10" t="s">
        <v>241</v>
      </c>
      <c r="BG10" t="s">
        <v>306</v>
      </c>
      <c r="BH10" t="s">
        <v>358</v>
      </c>
      <c r="BI10" t="s">
        <v>359</v>
      </c>
      <c r="BJ10" t="s">
        <v>308</v>
      </c>
      <c r="BK10" t="s">
        <v>32</v>
      </c>
      <c r="BL10" t="s">
        <v>32</v>
      </c>
      <c r="BM10" t="s">
        <v>15</v>
      </c>
      <c r="BN10" t="s">
        <v>32</v>
      </c>
      <c r="BO10" t="s">
        <v>32</v>
      </c>
      <c r="BP10" t="s">
        <v>32</v>
      </c>
      <c r="BQ10" t="s">
        <v>32</v>
      </c>
      <c r="BR10" t="s">
        <v>15</v>
      </c>
      <c r="BS10" t="s">
        <v>246</v>
      </c>
    </row>
    <row r="11" spans="1:71" x14ac:dyDescent="0.25">
      <c r="A11">
        <v>30</v>
      </c>
      <c r="B11" t="s">
        <v>360</v>
      </c>
      <c r="C11" t="s">
        <v>248</v>
      </c>
      <c r="D11" t="s">
        <v>198</v>
      </c>
      <c r="E11" t="s">
        <v>355</v>
      </c>
      <c r="F11" t="s">
        <v>2</v>
      </c>
      <c r="G11" t="s">
        <v>200</v>
      </c>
      <c r="I11" t="s">
        <v>361</v>
      </c>
      <c r="K11" t="s">
        <v>202</v>
      </c>
      <c r="L11" t="s">
        <v>300</v>
      </c>
      <c r="M11" t="s">
        <v>301</v>
      </c>
      <c r="N11" t="s">
        <v>302</v>
      </c>
      <c r="O11" t="s">
        <v>357</v>
      </c>
      <c r="P11" t="s">
        <v>357</v>
      </c>
      <c r="Q11" t="s">
        <v>288</v>
      </c>
      <c r="R11" t="s">
        <v>289</v>
      </c>
      <c r="S11" t="s">
        <v>290</v>
      </c>
      <c r="T11" t="s">
        <v>207</v>
      </c>
      <c r="U11" t="s">
        <v>208</v>
      </c>
      <c r="V11" t="s">
        <v>209</v>
      </c>
      <c r="W11" t="s">
        <v>32</v>
      </c>
      <c r="X11" t="s">
        <v>32</v>
      </c>
      <c r="Y11" t="s">
        <v>32</v>
      </c>
      <c r="Z11" t="s">
        <v>305</v>
      </c>
      <c r="AA11" t="s">
        <v>214</v>
      </c>
      <c r="AB11" t="s">
        <v>215</v>
      </c>
      <c r="AC11" t="s">
        <v>216</v>
      </c>
      <c r="AD11" t="s">
        <v>217</v>
      </c>
      <c r="AE11" t="s">
        <v>218</v>
      </c>
      <c r="AF11" t="s">
        <v>219</v>
      </c>
      <c r="AG11" t="s">
        <v>32</v>
      </c>
      <c r="AH11" t="s">
        <v>32</v>
      </c>
      <c r="AI11" t="s">
        <v>32</v>
      </c>
      <c r="AJ11" t="s">
        <v>305</v>
      </c>
      <c r="AK11" t="s">
        <v>221</v>
      </c>
      <c r="AL11" t="s">
        <v>222</v>
      </c>
      <c r="AM11" t="s">
        <v>223</v>
      </c>
      <c r="AN11" t="s">
        <v>294</v>
      </c>
      <c r="AO11" t="s">
        <v>295</v>
      </c>
      <c r="AP11" t="s">
        <v>225</v>
      </c>
      <c r="AQ11" t="s">
        <v>226</v>
      </c>
      <c r="AR11" t="s">
        <v>227</v>
      </c>
      <c r="AS11" t="s">
        <v>228</v>
      </c>
      <c r="AT11" t="s">
        <v>229</v>
      </c>
      <c r="AU11" t="s">
        <v>230</v>
      </c>
      <c r="AV11" t="s">
        <v>231</v>
      </c>
      <c r="AW11" t="s">
        <v>232</v>
      </c>
      <c r="AX11" t="s">
        <v>233</v>
      </c>
      <c r="AY11" t="s">
        <v>234</v>
      </c>
      <c r="AZ11" t="s">
        <v>235</v>
      </c>
      <c r="BA11" t="s">
        <v>236</v>
      </c>
      <c r="BB11" t="s">
        <v>237</v>
      </c>
      <c r="BC11" t="s">
        <v>238</v>
      </c>
      <c r="BD11" t="s">
        <v>239</v>
      </c>
      <c r="BE11" t="s">
        <v>240</v>
      </c>
      <c r="BF11" t="s">
        <v>241</v>
      </c>
      <c r="BG11" t="s">
        <v>306</v>
      </c>
      <c r="BH11" t="s">
        <v>358</v>
      </c>
      <c r="BI11" t="s">
        <v>359</v>
      </c>
      <c r="BJ11" t="s">
        <v>308</v>
      </c>
      <c r="BK11" t="s">
        <v>32</v>
      </c>
      <c r="BL11" t="s">
        <v>32</v>
      </c>
      <c r="BM11" t="s">
        <v>15</v>
      </c>
      <c r="BN11" t="s">
        <v>32</v>
      </c>
      <c r="BO11" t="s">
        <v>32</v>
      </c>
      <c r="BP11" t="s">
        <v>32</v>
      </c>
      <c r="BQ11" t="s">
        <v>32</v>
      </c>
      <c r="BR11" t="s">
        <v>15</v>
      </c>
      <c r="BS11" t="s">
        <v>246</v>
      </c>
    </row>
    <row r="12" spans="1:71" x14ac:dyDescent="0.25">
      <c r="A12">
        <v>31</v>
      </c>
      <c r="B12" t="s">
        <v>362</v>
      </c>
      <c r="C12" t="s">
        <v>260</v>
      </c>
      <c r="D12" t="s">
        <v>198</v>
      </c>
      <c r="E12" t="s">
        <v>355</v>
      </c>
      <c r="F12" t="s">
        <v>2</v>
      </c>
      <c r="G12" t="s">
        <v>200</v>
      </c>
      <c r="I12" t="s">
        <v>363</v>
      </c>
      <c r="K12" t="s">
        <v>202</v>
      </c>
      <c r="L12" t="s">
        <v>364</v>
      </c>
      <c r="M12" t="s">
        <v>365</v>
      </c>
      <c r="N12" t="s">
        <v>325</v>
      </c>
      <c r="O12" t="s">
        <v>357</v>
      </c>
      <c r="P12" t="s">
        <v>357</v>
      </c>
      <c r="Q12" t="s">
        <v>288</v>
      </c>
      <c r="R12" t="s">
        <v>289</v>
      </c>
      <c r="S12" t="s">
        <v>290</v>
      </c>
      <c r="T12" t="s">
        <v>207</v>
      </c>
      <c r="U12" t="s">
        <v>208</v>
      </c>
      <c r="V12" t="s">
        <v>209</v>
      </c>
      <c r="W12" t="s">
        <v>32</v>
      </c>
      <c r="X12" t="s">
        <v>32</v>
      </c>
      <c r="Y12" t="s">
        <v>32</v>
      </c>
      <c r="Z12" t="s">
        <v>305</v>
      </c>
      <c r="AA12" t="s">
        <v>214</v>
      </c>
      <c r="AB12" t="s">
        <v>215</v>
      </c>
      <c r="AC12" t="s">
        <v>216</v>
      </c>
      <c r="AD12" t="s">
        <v>217</v>
      </c>
      <c r="AE12" t="s">
        <v>218</v>
      </c>
      <c r="AF12" t="s">
        <v>219</v>
      </c>
      <c r="AG12" t="s">
        <v>32</v>
      </c>
      <c r="AH12" t="s">
        <v>32</v>
      </c>
      <c r="AI12" t="s">
        <v>32</v>
      </c>
      <c r="AJ12" t="s">
        <v>305</v>
      </c>
      <c r="AK12" t="s">
        <v>221</v>
      </c>
      <c r="AL12" t="s">
        <v>222</v>
      </c>
      <c r="AM12" t="s">
        <v>223</v>
      </c>
      <c r="AN12" t="s">
        <v>294</v>
      </c>
      <c r="AO12" t="s">
        <v>295</v>
      </c>
      <c r="AP12" t="s">
        <v>225</v>
      </c>
      <c r="AQ12" t="s">
        <v>226</v>
      </c>
      <c r="AR12" t="s">
        <v>227</v>
      </c>
      <c r="AS12" t="s">
        <v>228</v>
      </c>
      <c r="AT12" t="s">
        <v>229</v>
      </c>
      <c r="AU12" t="s">
        <v>230</v>
      </c>
      <c r="AV12" t="s">
        <v>231</v>
      </c>
      <c r="AW12" t="s">
        <v>232</v>
      </c>
      <c r="AX12" t="s">
        <v>233</v>
      </c>
      <c r="AY12" t="s">
        <v>234</v>
      </c>
      <c r="AZ12" t="s">
        <v>235</v>
      </c>
      <c r="BA12" t="s">
        <v>236</v>
      </c>
      <c r="BB12" t="s">
        <v>237</v>
      </c>
      <c r="BC12" t="s">
        <v>238</v>
      </c>
      <c r="BD12" t="s">
        <v>239</v>
      </c>
      <c r="BE12" t="s">
        <v>240</v>
      </c>
      <c r="BF12" t="s">
        <v>241</v>
      </c>
      <c r="BG12" t="s">
        <v>306</v>
      </c>
      <c r="BH12" t="s">
        <v>358</v>
      </c>
      <c r="BI12" t="s">
        <v>359</v>
      </c>
      <c r="BJ12" t="s">
        <v>308</v>
      </c>
      <c r="BK12" t="s">
        <v>32</v>
      </c>
      <c r="BL12" t="s">
        <v>32</v>
      </c>
      <c r="BM12" t="s">
        <v>15</v>
      </c>
      <c r="BN12" t="s">
        <v>32</v>
      </c>
      <c r="BO12" t="s">
        <v>32</v>
      </c>
      <c r="BP12" t="s">
        <v>32</v>
      </c>
      <c r="BQ12" t="s">
        <v>32</v>
      </c>
      <c r="BR12" t="s">
        <v>15</v>
      </c>
      <c r="BS12" t="s">
        <v>246</v>
      </c>
    </row>
    <row r="13" spans="1:71" x14ac:dyDescent="0.25">
      <c r="A13">
        <v>32</v>
      </c>
      <c r="B13" t="s">
        <v>366</v>
      </c>
      <c r="C13" t="s">
        <v>266</v>
      </c>
      <c r="D13" t="s">
        <v>198</v>
      </c>
      <c r="E13" t="s">
        <v>355</v>
      </c>
      <c r="F13" t="s">
        <v>2</v>
      </c>
      <c r="G13" t="s">
        <v>200</v>
      </c>
      <c r="I13" t="s">
        <v>367</v>
      </c>
      <c r="K13" t="s">
        <v>202</v>
      </c>
      <c r="L13" t="s">
        <v>368</v>
      </c>
      <c r="M13" t="s">
        <v>369</v>
      </c>
      <c r="N13" t="s">
        <v>370</v>
      </c>
      <c r="O13" t="s">
        <v>357</v>
      </c>
      <c r="P13" t="s">
        <v>357</v>
      </c>
      <c r="Q13" t="s">
        <v>288</v>
      </c>
      <c r="R13" t="s">
        <v>289</v>
      </c>
      <c r="S13" t="s">
        <v>290</v>
      </c>
      <c r="T13" t="s">
        <v>207</v>
      </c>
      <c r="U13" t="s">
        <v>208</v>
      </c>
      <c r="V13" t="s">
        <v>209</v>
      </c>
      <c r="W13" t="s">
        <v>32</v>
      </c>
      <c r="X13" t="s">
        <v>32</v>
      </c>
      <c r="Y13" t="s">
        <v>32</v>
      </c>
      <c r="Z13" t="s">
        <v>305</v>
      </c>
      <c r="AA13" t="s">
        <v>214</v>
      </c>
      <c r="AB13" t="s">
        <v>215</v>
      </c>
      <c r="AC13" t="s">
        <v>216</v>
      </c>
      <c r="AD13" t="s">
        <v>217</v>
      </c>
      <c r="AE13" t="s">
        <v>218</v>
      </c>
      <c r="AF13" t="s">
        <v>219</v>
      </c>
      <c r="AG13" t="s">
        <v>32</v>
      </c>
      <c r="AH13" t="s">
        <v>32</v>
      </c>
      <c r="AI13" t="s">
        <v>32</v>
      </c>
      <c r="AJ13" t="s">
        <v>305</v>
      </c>
      <c r="AK13" t="s">
        <v>221</v>
      </c>
      <c r="AL13" t="s">
        <v>222</v>
      </c>
      <c r="AM13" t="s">
        <v>223</v>
      </c>
      <c r="AN13" t="s">
        <v>294</v>
      </c>
      <c r="AO13" t="s">
        <v>295</v>
      </c>
      <c r="AP13" t="s">
        <v>225</v>
      </c>
      <c r="AQ13" t="s">
        <v>226</v>
      </c>
      <c r="AR13" t="s">
        <v>227</v>
      </c>
      <c r="AS13" t="s">
        <v>228</v>
      </c>
      <c r="AT13" t="s">
        <v>229</v>
      </c>
      <c r="AU13" t="s">
        <v>230</v>
      </c>
      <c r="AV13" t="s">
        <v>231</v>
      </c>
      <c r="AW13" t="s">
        <v>232</v>
      </c>
      <c r="AX13" t="s">
        <v>233</v>
      </c>
      <c r="AY13" t="s">
        <v>234</v>
      </c>
      <c r="AZ13" t="s">
        <v>235</v>
      </c>
      <c r="BA13" t="s">
        <v>236</v>
      </c>
      <c r="BB13" t="s">
        <v>237</v>
      </c>
      <c r="BC13" t="s">
        <v>238</v>
      </c>
      <c r="BD13" t="s">
        <v>239</v>
      </c>
      <c r="BE13" t="s">
        <v>240</v>
      </c>
      <c r="BF13" t="s">
        <v>241</v>
      </c>
      <c r="BG13" t="s">
        <v>306</v>
      </c>
      <c r="BH13" t="s">
        <v>358</v>
      </c>
      <c r="BI13" t="s">
        <v>359</v>
      </c>
      <c r="BJ13" t="s">
        <v>308</v>
      </c>
      <c r="BK13" t="s">
        <v>32</v>
      </c>
      <c r="BL13" t="s">
        <v>32</v>
      </c>
      <c r="BM13" t="s">
        <v>15</v>
      </c>
      <c r="BN13" t="s">
        <v>32</v>
      </c>
      <c r="BO13" t="s">
        <v>32</v>
      </c>
      <c r="BP13" t="s">
        <v>32</v>
      </c>
      <c r="BQ13" t="s">
        <v>32</v>
      </c>
      <c r="BR13" t="s">
        <v>15</v>
      </c>
      <c r="BS13" t="s">
        <v>246</v>
      </c>
    </row>
    <row r="14" spans="1:71" x14ac:dyDescent="0.25">
      <c r="A14">
        <v>33</v>
      </c>
      <c r="B14" t="s">
        <v>371</v>
      </c>
      <c r="C14" t="s">
        <v>197</v>
      </c>
      <c r="D14" t="s">
        <v>198</v>
      </c>
      <c r="E14" t="s">
        <v>372</v>
      </c>
      <c r="F14" t="s">
        <v>2</v>
      </c>
      <c r="G14" t="s">
        <v>200</v>
      </c>
      <c r="I14" t="s">
        <v>373</v>
      </c>
      <c r="K14" t="s">
        <v>202</v>
      </c>
      <c r="L14" t="s">
        <v>330</v>
      </c>
      <c r="M14" t="s">
        <v>331</v>
      </c>
      <c r="N14" t="s">
        <v>205</v>
      </c>
      <c r="O14" t="s">
        <v>357</v>
      </c>
      <c r="P14" t="s">
        <v>357</v>
      </c>
      <c r="Q14" t="s">
        <v>288</v>
      </c>
      <c r="R14" t="s">
        <v>289</v>
      </c>
      <c r="S14" t="s">
        <v>290</v>
      </c>
      <c r="T14" t="s">
        <v>207</v>
      </c>
      <c r="U14" t="s">
        <v>208</v>
      </c>
      <c r="V14" t="s">
        <v>209</v>
      </c>
      <c r="W14" t="s">
        <v>32</v>
      </c>
      <c r="X14" t="s">
        <v>32</v>
      </c>
      <c r="Y14" t="s">
        <v>32</v>
      </c>
      <c r="Z14" t="s">
        <v>305</v>
      </c>
      <c r="AA14" t="s">
        <v>214</v>
      </c>
      <c r="AB14" t="s">
        <v>215</v>
      </c>
      <c r="AC14" t="s">
        <v>216</v>
      </c>
      <c r="AD14" t="s">
        <v>217</v>
      </c>
      <c r="AE14" t="s">
        <v>218</v>
      </c>
      <c r="AF14" t="s">
        <v>219</v>
      </c>
      <c r="AG14" t="s">
        <v>32</v>
      </c>
      <c r="AH14" t="s">
        <v>32</v>
      </c>
      <c r="AI14" t="s">
        <v>32</v>
      </c>
      <c r="AJ14" t="s">
        <v>305</v>
      </c>
      <c r="AK14" t="s">
        <v>221</v>
      </c>
      <c r="AL14" t="s">
        <v>222</v>
      </c>
      <c r="AM14" t="s">
        <v>223</v>
      </c>
      <c r="AN14" t="s">
        <v>294</v>
      </c>
      <c r="AO14" t="s">
        <v>295</v>
      </c>
      <c r="AP14" t="s">
        <v>225</v>
      </c>
      <c r="AQ14" t="s">
        <v>226</v>
      </c>
      <c r="AR14" t="s">
        <v>227</v>
      </c>
      <c r="AS14" t="s">
        <v>228</v>
      </c>
      <c r="AT14" t="s">
        <v>229</v>
      </c>
      <c r="AU14" t="s">
        <v>230</v>
      </c>
      <c r="AV14" t="s">
        <v>231</v>
      </c>
      <c r="AW14" t="s">
        <v>232</v>
      </c>
      <c r="AX14" t="s">
        <v>233</v>
      </c>
      <c r="AY14" t="s">
        <v>234</v>
      </c>
      <c r="AZ14" t="s">
        <v>235</v>
      </c>
      <c r="BA14" t="s">
        <v>236</v>
      </c>
      <c r="BB14" t="s">
        <v>237</v>
      </c>
      <c r="BC14" t="s">
        <v>238</v>
      </c>
      <c r="BD14" t="s">
        <v>239</v>
      </c>
      <c r="BE14" t="s">
        <v>240</v>
      </c>
      <c r="BF14" t="s">
        <v>241</v>
      </c>
      <c r="BG14" t="s">
        <v>306</v>
      </c>
      <c r="BH14" t="s">
        <v>358</v>
      </c>
      <c r="BI14" t="s">
        <v>359</v>
      </c>
      <c r="BJ14" t="s">
        <v>308</v>
      </c>
      <c r="BK14" t="s">
        <v>32</v>
      </c>
      <c r="BL14" t="s">
        <v>32</v>
      </c>
      <c r="BM14" t="s">
        <v>15</v>
      </c>
      <c r="BN14" t="s">
        <v>32</v>
      </c>
      <c r="BO14" t="s">
        <v>32</v>
      </c>
      <c r="BP14" t="s">
        <v>32</v>
      </c>
      <c r="BQ14" t="s">
        <v>32</v>
      </c>
      <c r="BR14" t="s">
        <v>15</v>
      </c>
      <c r="BS14" t="s">
        <v>246</v>
      </c>
    </row>
    <row r="15" spans="1:71" x14ac:dyDescent="0.25">
      <c r="A15">
        <v>34</v>
      </c>
      <c r="B15" t="s">
        <v>374</v>
      </c>
      <c r="C15" t="s">
        <v>248</v>
      </c>
      <c r="D15" t="s">
        <v>198</v>
      </c>
      <c r="E15" t="s">
        <v>372</v>
      </c>
      <c r="F15" t="s">
        <v>2</v>
      </c>
      <c r="G15" t="s">
        <v>200</v>
      </c>
      <c r="I15" t="s">
        <v>375</v>
      </c>
      <c r="K15" t="s">
        <v>202</v>
      </c>
      <c r="L15" t="s">
        <v>300</v>
      </c>
      <c r="M15" t="s">
        <v>301</v>
      </c>
      <c r="N15" t="s">
        <v>302</v>
      </c>
      <c r="O15" t="s">
        <v>357</v>
      </c>
      <c r="P15" t="s">
        <v>357</v>
      </c>
      <c r="Q15" t="s">
        <v>288</v>
      </c>
      <c r="R15" t="s">
        <v>289</v>
      </c>
      <c r="S15" t="s">
        <v>290</v>
      </c>
      <c r="T15" t="s">
        <v>207</v>
      </c>
      <c r="U15" t="s">
        <v>208</v>
      </c>
      <c r="V15" t="s">
        <v>209</v>
      </c>
      <c r="W15" t="s">
        <v>32</v>
      </c>
      <c r="X15" t="s">
        <v>32</v>
      </c>
      <c r="Y15" t="s">
        <v>32</v>
      </c>
      <c r="Z15" t="s">
        <v>305</v>
      </c>
      <c r="AA15" t="s">
        <v>214</v>
      </c>
      <c r="AB15" t="s">
        <v>215</v>
      </c>
      <c r="AC15" t="s">
        <v>216</v>
      </c>
      <c r="AD15" t="s">
        <v>217</v>
      </c>
      <c r="AE15" t="s">
        <v>218</v>
      </c>
      <c r="AF15" t="s">
        <v>219</v>
      </c>
      <c r="AG15" t="s">
        <v>32</v>
      </c>
      <c r="AH15" t="s">
        <v>32</v>
      </c>
      <c r="AI15" t="s">
        <v>32</v>
      </c>
      <c r="AJ15" t="s">
        <v>305</v>
      </c>
      <c r="AK15" t="s">
        <v>221</v>
      </c>
      <c r="AL15" t="s">
        <v>222</v>
      </c>
      <c r="AM15" t="s">
        <v>223</v>
      </c>
      <c r="AN15" t="s">
        <v>294</v>
      </c>
      <c r="AO15" t="s">
        <v>295</v>
      </c>
      <c r="AP15" t="s">
        <v>225</v>
      </c>
      <c r="AQ15" t="s">
        <v>226</v>
      </c>
      <c r="AR15" t="s">
        <v>227</v>
      </c>
      <c r="AS15" t="s">
        <v>228</v>
      </c>
      <c r="AT15" t="s">
        <v>229</v>
      </c>
      <c r="AU15" t="s">
        <v>230</v>
      </c>
      <c r="AV15" t="s">
        <v>231</v>
      </c>
      <c r="AW15" t="s">
        <v>232</v>
      </c>
      <c r="AX15" t="s">
        <v>233</v>
      </c>
      <c r="AY15" t="s">
        <v>234</v>
      </c>
      <c r="AZ15" t="s">
        <v>235</v>
      </c>
      <c r="BA15" t="s">
        <v>236</v>
      </c>
      <c r="BB15" t="s">
        <v>237</v>
      </c>
      <c r="BC15" t="s">
        <v>238</v>
      </c>
      <c r="BD15" t="s">
        <v>239</v>
      </c>
      <c r="BE15" t="s">
        <v>240</v>
      </c>
      <c r="BF15" t="s">
        <v>241</v>
      </c>
      <c r="BG15" t="s">
        <v>306</v>
      </c>
      <c r="BH15" t="s">
        <v>358</v>
      </c>
      <c r="BI15" t="s">
        <v>359</v>
      </c>
      <c r="BJ15" t="s">
        <v>308</v>
      </c>
      <c r="BK15" t="s">
        <v>32</v>
      </c>
      <c r="BL15" t="s">
        <v>32</v>
      </c>
      <c r="BM15" t="s">
        <v>15</v>
      </c>
      <c r="BN15" t="s">
        <v>32</v>
      </c>
      <c r="BO15" t="s">
        <v>32</v>
      </c>
      <c r="BP15" t="s">
        <v>32</v>
      </c>
      <c r="BQ15" t="s">
        <v>32</v>
      </c>
      <c r="BR15" t="s">
        <v>15</v>
      </c>
      <c r="BS15" t="s">
        <v>246</v>
      </c>
    </row>
    <row r="16" spans="1:71" x14ac:dyDescent="0.25">
      <c r="A16">
        <v>35</v>
      </c>
      <c r="B16" t="s">
        <v>376</v>
      </c>
      <c r="C16" t="s">
        <v>260</v>
      </c>
      <c r="D16" t="s">
        <v>198</v>
      </c>
      <c r="E16" t="s">
        <v>372</v>
      </c>
      <c r="F16" t="s">
        <v>2</v>
      </c>
      <c r="G16" t="s">
        <v>200</v>
      </c>
      <c r="I16" t="s">
        <v>377</v>
      </c>
      <c r="K16" t="s">
        <v>202</v>
      </c>
      <c r="L16" t="s">
        <v>364</v>
      </c>
      <c r="M16" t="s">
        <v>365</v>
      </c>
      <c r="N16" t="s">
        <v>325</v>
      </c>
      <c r="O16" t="s">
        <v>357</v>
      </c>
      <c r="P16" t="s">
        <v>357</v>
      </c>
      <c r="Q16" t="s">
        <v>288</v>
      </c>
      <c r="R16" t="s">
        <v>289</v>
      </c>
      <c r="S16" t="s">
        <v>290</v>
      </c>
      <c r="T16" t="s">
        <v>207</v>
      </c>
      <c r="U16" t="s">
        <v>208</v>
      </c>
      <c r="V16" t="s">
        <v>209</v>
      </c>
      <c r="W16" t="s">
        <v>32</v>
      </c>
      <c r="X16" t="s">
        <v>32</v>
      </c>
      <c r="Y16" t="s">
        <v>32</v>
      </c>
      <c r="Z16" t="s">
        <v>305</v>
      </c>
      <c r="AA16" t="s">
        <v>214</v>
      </c>
      <c r="AB16" t="s">
        <v>215</v>
      </c>
      <c r="AC16" t="s">
        <v>216</v>
      </c>
      <c r="AD16" t="s">
        <v>217</v>
      </c>
      <c r="AE16" t="s">
        <v>218</v>
      </c>
      <c r="AF16" t="s">
        <v>219</v>
      </c>
      <c r="AG16" t="s">
        <v>32</v>
      </c>
      <c r="AH16" t="s">
        <v>32</v>
      </c>
      <c r="AI16" t="s">
        <v>32</v>
      </c>
      <c r="AJ16" t="s">
        <v>305</v>
      </c>
      <c r="AK16" t="s">
        <v>221</v>
      </c>
      <c r="AL16" t="s">
        <v>222</v>
      </c>
      <c r="AM16" t="s">
        <v>223</v>
      </c>
      <c r="AN16" t="s">
        <v>294</v>
      </c>
      <c r="AO16" t="s">
        <v>295</v>
      </c>
      <c r="AP16" t="s">
        <v>225</v>
      </c>
      <c r="AQ16" t="s">
        <v>226</v>
      </c>
      <c r="AR16" t="s">
        <v>227</v>
      </c>
      <c r="AS16" t="s">
        <v>228</v>
      </c>
      <c r="AT16" t="s">
        <v>229</v>
      </c>
      <c r="AU16" t="s">
        <v>230</v>
      </c>
      <c r="AV16" t="s">
        <v>231</v>
      </c>
      <c r="AW16" t="s">
        <v>232</v>
      </c>
      <c r="AX16" t="s">
        <v>233</v>
      </c>
      <c r="AY16" t="s">
        <v>234</v>
      </c>
      <c r="AZ16" t="s">
        <v>235</v>
      </c>
      <c r="BA16" t="s">
        <v>236</v>
      </c>
      <c r="BB16" t="s">
        <v>237</v>
      </c>
      <c r="BC16" t="s">
        <v>238</v>
      </c>
      <c r="BD16" t="s">
        <v>239</v>
      </c>
      <c r="BE16" t="s">
        <v>240</v>
      </c>
      <c r="BF16" t="s">
        <v>241</v>
      </c>
      <c r="BG16" t="s">
        <v>306</v>
      </c>
      <c r="BH16" t="s">
        <v>358</v>
      </c>
      <c r="BI16" t="s">
        <v>359</v>
      </c>
      <c r="BJ16" t="s">
        <v>308</v>
      </c>
      <c r="BK16" t="s">
        <v>32</v>
      </c>
      <c r="BL16" t="s">
        <v>32</v>
      </c>
      <c r="BM16" t="s">
        <v>15</v>
      </c>
      <c r="BN16" t="s">
        <v>32</v>
      </c>
      <c r="BO16" t="s">
        <v>32</v>
      </c>
      <c r="BP16" t="s">
        <v>32</v>
      </c>
      <c r="BQ16" t="s">
        <v>32</v>
      </c>
      <c r="BR16" t="s">
        <v>15</v>
      </c>
      <c r="BS16" t="s">
        <v>246</v>
      </c>
    </row>
    <row r="17" spans="1:71" x14ac:dyDescent="0.25">
      <c r="A17">
        <v>36</v>
      </c>
      <c r="B17" t="s">
        <v>378</v>
      </c>
      <c r="C17" t="s">
        <v>266</v>
      </c>
      <c r="D17" t="s">
        <v>198</v>
      </c>
      <c r="E17" t="s">
        <v>372</v>
      </c>
      <c r="F17" t="s">
        <v>2</v>
      </c>
      <c r="G17" t="s">
        <v>200</v>
      </c>
      <c r="I17" t="s">
        <v>379</v>
      </c>
      <c r="K17" t="s">
        <v>202</v>
      </c>
      <c r="L17" t="s">
        <v>368</v>
      </c>
      <c r="M17" t="s">
        <v>369</v>
      </c>
      <c r="N17" t="s">
        <v>370</v>
      </c>
      <c r="O17" t="s">
        <v>357</v>
      </c>
      <c r="P17" t="s">
        <v>357</v>
      </c>
      <c r="Q17" t="s">
        <v>288</v>
      </c>
      <c r="R17" t="s">
        <v>289</v>
      </c>
      <c r="S17" t="s">
        <v>290</v>
      </c>
      <c r="T17" t="s">
        <v>207</v>
      </c>
      <c r="U17" t="s">
        <v>208</v>
      </c>
      <c r="V17" t="s">
        <v>209</v>
      </c>
      <c r="W17" t="s">
        <v>32</v>
      </c>
      <c r="X17" t="s">
        <v>32</v>
      </c>
      <c r="Y17" t="s">
        <v>32</v>
      </c>
      <c r="Z17" t="s">
        <v>305</v>
      </c>
      <c r="AA17" t="s">
        <v>214</v>
      </c>
      <c r="AB17" t="s">
        <v>215</v>
      </c>
      <c r="AC17" t="s">
        <v>216</v>
      </c>
      <c r="AD17" t="s">
        <v>217</v>
      </c>
      <c r="AE17" t="s">
        <v>218</v>
      </c>
      <c r="AF17" t="s">
        <v>219</v>
      </c>
      <c r="AG17" t="s">
        <v>32</v>
      </c>
      <c r="AH17" t="s">
        <v>32</v>
      </c>
      <c r="AI17" t="s">
        <v>32</v>
      </c>
      <c r="AJ17" t="s">
        <v>305</v>
      </c>
      <c r="AK17" t="s">
        <v>221</v>
      </c>
      <c r="AL17" t="s">
        <v>222</v>
      </c>
      <c r="AM17" t="s">
        <v>223</v>
      </c>
      <c r="AN17" t="s">
        <v>294</v>
      </c>
      <c r="AO17" t="s">
        <v>295</v>
      </c>
      <c r="AP17" t="s">
        <v>225</v>
      </c>
      <c r="AQ17" t="s">
        <v>226</v>
      </c>
      <c r="AR17" t="s">
        <v>227</v>
      </c>
      <c r="AS17" t="s">
        <v>228</v>
      </c>
      <c r="AT17" t="s">
        <v>229</v>
      </c>
      <c r="AU17" t="s">
        <v>230</v>
      </c>
      <c r="AV17" t="s">
        <v>231</v>
      </c>
      <c r="AW17" t="s">
        <v>232</v>
      </c>
      <c r="AX17" t="s">
        <v>233</v>
      </c>
      <c r="AY17" t="s">
        <v>234</v>
      </c>
      <c r="AZ17" t="s">
        <v>235</v>
      </c>
      <c r="BA17" t="s">
        <v>236</v>
      </c>
      <c r="BB17" t="s">
        <v>237</v>
      </c>
      <c r="BC17" t="s">
        <v>238</v>
      </c>
      <c r="BD17" t="s">
        <v>239</v>
      </c>
      <c r="BE17" t="s">
        <v>240</v>
      </c>
      <c r="BF17" t="s">
        <v>241</v>
      </c>
      <c r="BG17" t="s">
        <v>306</v>
      </c>
      <c r="BH17" t="s">
        <v>358</v>
      </c>
      <c r="BI17" t="s">
        <v>359</v>
      </c>
      <c r="BJ17" t="s">
        <v>308</v>
      </c>
      <c r="BK17" t="s">
        <v>32</v>
      </c>
      <c r="BL17" t="s">
        <v>32</v>
      </c>
      <c r="BM17" t="s">
        <v>15</v>
      </c>
      <c r="BN17" t="s">
        <v>32</v>
      </c>
      <c r="BO17" t="s">
        <v>32</v>
      </c>
      <c r="BP17" t="s">
        <v>32</v>
      </c>
      <c r="BQ17" t="s">
        <v>32</v>
      </c>
      <c r="BR17" t="s">
        <v>15</v>
      </c>
      <c r="BS17" t="s">
        <v>246</v>
      </c>
    </row>
    <row r="18" spans="1:71" x14ac:dyDescent="0.25">
      <c r="A18">
        <v>37</v>
      </c>
      <c r="B18" t="s">
        <v>380</v>
      </c>
      <c r="C18" t="s">
        <v>266</v>
      </c>
      <c r="D18" t="s">
        <v>198</v>
      </c>
      <c r="E18" t="s">
        <v>355</v>
      </c>
      <c r="F18" t="s">
        <v>2</v>
      </c>
      <c r="G18" t="s">
        <v>200</v>
      </c>
      <c r="I18" t="s">
        <v>381</v>
      </c>
      <c r="K18" t="s">
        <v>202</v>
      </c>
      <c r="L18" t="s">
        <v>268</v>
      </c>
      <c r="M18" t="s">
        <v>269</v>
      </c>
      <c r="N18" t="s">
        <v>270</v>
      </c>
      <c r="O18" t="s">
        <v>333</v>
      </c>
      <c r="P18" t="s">
        <v>304</v>
      </c>
      <c r="Q18" t="s">
        <v>288</v>
      </c>
      <c r="R18" t="s">
        <v>289</v>
      </c>
      <c r="S18" t="s">
        <v>290</v>
      </c>
      <c r="T18" t="s">
        <v>207</v>
      </c>
      <c r="U18" t="s">
        <v>208</v>
      </c>
      <c r="V18" t="s">
        <v>209</v>
      </c>
      <c r="W18" t="s">
        <v>32</v>
      </c>
      <c r="X18" t="s">
        <v>32</v>
      </c>
      <c r="Y18" t="s">
        <v>32</v>
      </c>
      <c r="Z18" t="s">
        <v>305</v>
      </c>
      <c r="AA18" t="s">
        <v>214</v>
      </c>
      <c r="AB18" t="s">
        <v>215</v>
      </c>
      <c r="AC18" t="s">
        <v>216</v>
      </c>
      <c r="AD18" t="s">
        <v>217</v>
      </c>
      <c r="AE18" t="s">
        <v>218</v>
      </c>
      <c r="AF18" t="s">
        <v>219</v>
      </c>
      <c r="AG18" t="s">
        <v>32</v>
      </c>
      <c r="AH18" t="s">
        <v>32</v>
      </c>
      <c r="AI18" t="s">
        <v>32</v>
      </c>
      <c r="AJ18" t="s">
        <v>305</v>
      </c>
      <c r="AK18" t="s">
        <v>221</v>
      </c>
      <c r="AL18" t="s">
        <v>222</v>
      </c>
      <c r="AM18" t="s">
        <v>223</v>
      </c>
      <c r="AN18" t="s">
        <v>294</v>
      </c>
      <c r="AO18" t="s">
        <v>295</v>
      </c>
      <c r="AP18" t="s">
        <v>225</v>
      </c>
      <c r="AQ18" t="s">
        <v>226</v>
      </c>
      <c r="AR18" t="s">
        <v>227</v>
      </c>
      <c r="AS18" t="s">
        <v>228</v>
      </c>
      <c r="AT18" t="s">
        <v>229</v>
      </c>
      <c r="AU18" t="s">
        <v>230</v>
      </c>
      <c r="AV18" t="s">
        <v>231</v>
      </c>
      <c r="AW18" t="s">
        <v>232</v>
      </c>
      <c r="AX18" t="s">
        <v>233</v>
      </c>
      <c r="AY18" t="s">
        <v>234</v>
      </c>
      <c r="AZ18" t="s">
        <v>235</v>
      </c>
      <c r="BA18" t="s">
        <v>236</v>
      </c>
      <c r="BB18" t="s">
        <v>237</v>
      </c>
      <c r="BC18" t="s">
        <v>238</v>
      </c>
      <c r="BD18" t="s">
        <v>239</v>
      </c>
      <c r="BE18" t="s">
        <v>240</v>
      </c>
      <c r="BF18" t="s">
        <v>241</v>
      </c>
      <c r="BG18" t="s">
        <v>306</v>
      </c>
      <c r="BH18" t="s">
        <v>358</v>
      </c>
      <c r="BI18" t="s">
        <v>359</v>
      </c>
      <c r="BJ18" t="s">
        <v>308</v>
      </c>
      <c r="BK18" t="s">
        <v>32</v>
      </c>
      <c r="BL18" t="s">
        <v>32</v>
      </c>
      <c r="BM18" t="s">
        <v>15</v>
      </c>
      <c r="BN18" t="s">
        <v>32</v>
      </c>
      <c r="BO18" t="s">
        <v>32</v>
      </c>
      <c r="BP18" t="s">
        <v>32</v>
      </c>
      <c r="BQ18" t="s">
        <v>32</v>
      </c>
      <c r="BR18" t="s">
        <v>15</v>
      </c>
      <c r="BS18" t="s">
        <v>246</v>
      </c>
    </row>
    <row r="19" spans="1:71" x14ac:dyDescent="0.25">
      <c r="A19">
        <v>38</v>
      </c>
      <c r="B19" t="s">
        <v>271</v>
      </c>
      <c r="C19" t="s">
        <v>272</v>
      </c>
      <c r="D19" t="s">
        <v>198</v>
      </c>
      <c r="E19" t="s">
        <v>355</v>
      </c>
      <c r="F19" t="s">
        <v>2</v>
      </c>
      <c r="G19" t="s">
        <v>200</v>
      </c>
      <c r="I19" t="s">
        <v>382</v>
      </c>
      <c r="K19" t="s">
        <v>202</v>
      </c>
      <c r="L19" t="s">
        <v>274</v>
      </c>
      <c r="M19" t="s">
        <v>275</v>
      </c>
      <c r="N19" t="s">
        <v>276</v>
      </c>
      <c r="O19" t="s">
        <v>333</v>
      </c>
      <c r="P19" t="s">
        <v>304</v>
      </c>
      <c r="Q19" t="s">
        <v>288</v>
      </c>
      <c r="R19" t="s">
        <v>289</v>
      </c>
      <c r="S19" t="s">
        <v>290</v>
      </c>
      <c r="T19" t="s">
        <v>207</v>
      </c>
      <c r="U19" t="s">
        <v>208</v>
      </c>
      <c r="V19" t="s">
        <v>209</v>
      </c>
      <c r="W19" t="s">
        <v>32</v>
      </c>
      <c r="X19" t="s">
        <v>32</v>
      </c>
      <c r="Y19" t="s">
        <v>32</v>
      </c>
      <c r="Z19" t="s">
        <v>305</v>
      </c>
      <c r="AA19" t="s">
        <v>214</v>
      </c>
      <c r="AB19" t="s">
        <v>215</v>
      </c>
      <c r="AC19" t="s">
        <v>216</v>
      </c>
      <c r="AD19" t="s">
        <v>217</v>
      </c>
      <c r="AE19" t="s">
        <v>218</v>
      </c>
      <c r="AF19" t="s">
        <v>219</v>
      </c>
      <c r="AG19" t="s">
        <v>32</v>
      </c>
      <c r="AH19" t="s">
        <v>32</v>
      </c>
      <c r="AI19" t="s">
        <v>32</v>
      </c>
      <c r="AJ19" t="s">
        <v>305</v>
      </c>
      <c r="AK19" t="s">
        <v>221</v>
      </c>
      <c r="AL19" t="s">
        <v>222</v>
      </c>
      <c r="AM19" t="s">
        <v>223</v>
      </c>
      <c r="AN19" t="s">
        <v>294</v>
      </c>
      <c r="AO19" t="s">
        <v>295</v>
      </c>
      <c r="AP19" t="s">
        <v>225</v>
      </c>
      <c r="AQ19" t="s">
        <v>226</v>
      </c>
      <c r="AR19" t="s">
        <v>227</v>
      </c>
      <c r="AS19" t="s">
        <v>228</v>
      </c>
      <c r="AT19" t="s">
        <v>229</v>
      </c>
      <c r="AU19" t="s">
        <v>230</v>
      </c>
      <c r="AV19" t="s">
        <v>231</v>
      </c>
      <c r="AW19" t="s">
        <v>232</v>
      </c>
      <c r="AX19" t="s">
        <v>233</v>
      </c>
      <c r="AY19" t="s">
        <v>234</v>
      </c>
      <c r="AZ19" t="s">
        <v>235</v>
      </c>
      <c r="BA19" t="s">
        <v>236</v>
      </c>
      <c r="BB19" t="s">
        <v>237</v>
      </c>
      <c r="BC19" t="s">
        <v>238</v>
      </c>
      <c r="BD19" t="s">
        <v>239</v>
      </c>
      <c r="BE19" t="s">
        <v>240</v>
      </c>
      <c r="BF19" t="s">
        <v>241</v>
      </c>
      <c r="BG19" t="s">
        <v>306</v>
      </c>
      <c r="BH19" t="s">
        <v>358</v>
      </c>
      <c r="BI19" t="s">
        <v>359</v>
      </c>
      <c r="BJ19" t="s">
        <v>308</v>
      </c>
      <c r="BK19" t="s">
        <v>32</v>
      </c>
      <c r="BL19" t="s">
        <v>32</v>
      </c>
      <c r="BM19" t="s">
        <v>15</v>
      </c>
      <c r="BN19" t="s">
        <v>32</v>
      </c>
      <c r="BO19" t="s">
        <v>32</v>
      </c>
      <c r="BP19" t="s">
        <v>32</v>
      </c>
      <c r="BQ19" t="s">
        <v>32</v>
      </c>
      <c r="BR19" t="s">
        <v>15</v>
      </c>
      <c r="BS19" t="s">
        <v>246</v>
      </c>
    </row>
    <row r="20" spans="1:71" x14ac:dyDescent="0.25">
      <c r="A20">
        <v>39</v>
      </c>
      <c r="B20" t="s">
        <v>277</v>
      </c>
      <c r="C20" t="s">
        <v>272</v>
      </c>
      <c r="D20" t="s">
        <v>198</v>
      </c>
      <c r="E20" t="s">
        <v>355</v>
      </c>
      <c r="F20" t="s">
        <v>2</v>
      </c>
      <c r="G20" t="s">
        <v>200</v>
      </c>
      <c r="I20" t="s">
        <v>278</v>
      </c>
      <c r="K20" t="s">
        <v>202</v>
      </c>
      <c r="L20" t="s">
        <v>279</v>
      </c>
      <c r="M20" t="s">
        <v>280</v>
      </c>
      <c r="N20" t="s">
        <v>281</v>
      </c>
      <c r="O20" t="s">
        <v>333</v>
      </c>
      <c r="P20" t="s">
        <v>304</v>
      </c>
      <c r="Q20" t="s">
        <v>288</v>
      </c>
      <c r="R20" t="s">
        <v>289</v>
      </c>
      <c r="S20" t="s">
        <v>290</v>
      </c>
      <c r="T20" t="s">
        <v>207</v>
      </c>
      <c r="U20" t="s">
        <v>208</v>
      </c>
      <c r="V20" t="s">
        <v>209</v>
      </c>
      <c r="W20" t="s">
        <v>32</v>
      </c>
      <c r="X20" t="s">
        <v>32</v>
      </c>
      <c r="Y20" t="s">
        <v>32</v>
      </c>
      <c r="Z20" t="s">
        <v>305</v>
      </c>
      <c r="AA20" t="s">
        <v>214</v>
      </c>
      <c r="AB20" t="s">
        <v>215</v>
      </c>
      <c r="AC20" t="s">
        <v>216</v>
      </c>
      <c r="AD20" t="s">
        <v>217</v>
      </c>
      <c r="AE20" t="s">
        <v>218</v>
      </c>
      <c r="AF20" t="s">
        <v>219</v>
      </c>
      <c r="AG20" t="s">
        <v>32</v>
      </c>
      <c r="AH20" t="s">
        <v>32</v>
      </c>
      <c r="AI20" t="s">
        <v>32</v>
      </c>
      <c r="AJ20" t="s">
        <v>305</v>
      </c>
      <c r="AK20" t="s">
        <v>221</v>
      </c>
      <c r="AL20" t="s">
        <v>222</v>
      </c>
      <c r="AM20" t="s">
        <v>223</v>
      </c>
      <c r="AN20" t="s">
        <v>294</v>
      </c>
      <c r="AO20" t="s">
        <v>295</v>
      </c>
      <c r="AP20" t="s">
        <v>225</v>
      </c>
      <c r="AQ20" t="s">
        <v>226</v>
      </c>
      <c r="AR20" t="s">
        <v>227</v>
      </c>
      <c r="AS20" t="s">
        <v>228</v>
      </c>
      <c r="AT20" t="s">
        <v>229</v>
      </c>
      <c r="AU20" t="s">
        <v>230</v>
      </c>
      <c r="AV20" t="s">
        <v>231</v>
      </c>
      <c r="AW20" t="s">
        <v>232</v>
      </c>
      <c r="AX20" t="s">
        <v>233</v>
      </c>
      <c r="AY20" t="s">
        <v>234</v>
      </c>
      <c r="AZ20" t="s">
        <v>235</v>
      </c>
      <c r="BA20" t="s">
        <v>236</v>
      </c>
      <c r="BB20" t="s">
        <v>237</v>
      </c>
      <c r="BC20" t="s">
        <v>238</v>
      </c>
      <c r="BD20" t="s">
        <v>239</v>
      </c>
      <c r="BE20" t="s">
        <v>240</v>
      </c>
      <c r="BF20" t="s">
        <v>241</v>
      </c>
      <c r="BG20" t="s">
        <v>306</v>
      </c>
      <c r="BH20" t="s">
        <v>358</v>
      </c>
      <c r="BI20" t="s">
        <v>359</v>
      </c>
      <c r="BJ20" t="s">
        <v>308</v>
      </c>
      <c r="BK20" t="s">
        <v>32</v>
      </c>
      <c r="BL20" t="s">
        <v>32</v>
      </c>
      <c r="BM20" t="s">
        <v>15</v>
      </c>
      <c r="BN20" t="s">
        <v>32</v>
      </c>
      <c r="BO20" t="s">
        <v>32</v>
      </c>
      <c r="BP20" t="s">
        <v>32</v>
      </c>
      <c r="BQ20" t="s">
        <v>32</v>
      </c>
      <c r="BR20" t="s">
        <v>15</v>
      </c>
      <c r="BS20" t="s">
        <v>246</v>
      </c>
    </row>
    <row r="21" spans="1:71" x14ac:dyDescent="0.25">
      <c r="A21">
        <v>40</v>
      </c>
      <c r="B21" t="s">
        <v>337</v>
      </c>
      <c r="C21" t="s">
        <v>266</v>
      </c>
      <c r="D21" t="s">
        <v>198</v>
      </c>
      <c r="E21" t="s">
        <v>372</v>
      </c>
      <c r="F21" t="s">
        <v>2</v>
      </c>
      <c r="G21" t="s">
        <v>200</v>
      </c>
      <c r="I21" t="s">
        <v>338</v>
      </c>
      <c r="K21" t="s">
        <v>202</v>
      </c>
      <c r="L21" t="s">
        <v>268</v>
      </c>
      <c r="M21" t="s">
        <v>269</v>
      </c>
      <c r="N21" t="s">
        <v>270</v>
      </c>
      <c r="O21" t="s">
        <v>304</v>
      </c>
      <c r="P21" t="s">
        <v>333</v>
      </c>
      <c r="Q21" t="s">
        <v>288</v>
      </c>
      <c r="R21" t="s">
        <v>289</v>
      </c>
      <c r="S21" t="s">
        <v>290</v>
      </c>
      <c r="T21" t="s">
        <v>207</v>
      </c>
      <c r="U21" t="s">
        <v>208</v>
      </c>
      <c r="V21" t="s">
        <v>209</v>
      </c>
      <c r="W21" t="s">
        <v>32</v>
      </c>
      <c r="X21" t="s">
        <v>32</v>
      </c>
      <c r="Y21" t="s">
        <v>32</v>
      </c>
      <c r="Z21" t="s">
        <v>305</v>
      </c>
      <c r="AA21" t="s">
        <v>214</v>
      </c>
      <c r="AB21" t="s">
        <v>215</v>
      </c>
      <c r="AC21" t="s">
        <v>216</v>
      </c>
      <c r="AD21" t="s">
        <v>217</v>
      </c>
      <c r="AE21" t="s">
        <v>218</v>
      </c>
      <c r="AF21" t="s">
        <v>219</v>
      </c>
      <c r="AG21" t="s">
        <v>32</v>
      </c>
      <c r="AH21" t="s">
        <v>32</v>
      </c>
      <c r="AI21" t="s">
        <v>32</v>
      </c>
      <c r="AJ21" t="s">
        <v>305</v>
      </c>
      <c r="AK21" t="s">
        <v>221</v>
      </c>
      <c r="AL21" t="s">
        <v>222</v>
      </c>
      <c r="AM21" t="s">
        <v>223</v>
      </c>
      <c r="AN21" t="s">
        <v>294</v>
      </c>
      <c r="AO21" t="s">
        <v>295</v>
      </c>
      <c r="AP21" t="s">
        <v>225</v>
      </c>
      <c r="AQ21" t="s">
        <v>226</v>
      </c>
      <c r="AR21" t="s">
        <v>227</v>
      </c>
      <c r="AS21" t="s">
        <v>228</v>
      </c>
      <c r="AT21" t="s">
        <v>229</v>
      </c>
      <c r="AU21" t="s">
        <v>230</v>
      </c>
      <c r="AV21" t="s">
        <v>231</v>
      </c>
      <c r="AW21" t="s">
        <v>232</v>
      </c>
      <c r="AX21" t="s">
        <v>233</v>
      </c>
      <c r="AY21" t="s">
        <v>234</v>
      </c>
      <c r="AZ21" t="s">
        <v>235</v>
      </c>
      <c r="BA21" t="s">
        <v>236</v>
      </c>
      <c r="BB21" t="s">
        <v>237</v>
      </c>
      <c r="BC21" t="s">
        <v>238</v>
      </c>
      <c r="BD21" t="s">
        <v>239</v>
      </c>
      <c r="BE21" t="s">
        <v>240</v>
      </c>
      <c r="BF21" t="s">
        <v>241</v>
      </c>
      <c r="BG21" t="s">
        <v>306</v>
      </c>
      <c r="BH21" t="s">
        <v>358</v>
      </c>
      <c r="BI21" t="s">
        <v>359</v>
      </c>
      <c r="BJ21" t="s">
        <v>308</v>
      </c>
      <c r="BK21" t="s">
        <v>32</v>
      </c>
      <c r="BL21" t="s">
        <v>32</v>
      </c>
      <c r="BM21" t="s">
        <v>15</v>
      </c>
      <c r="BN21" t="s">
        <v>32</v>
      </c>
      <c r="BO21" t="s">
        <v>32</v>
      </c>
      <c r="BP21" t="s">
        <v>32</v>
      </c>
      <c r="BQ21" t="s">
        <v>32</v>
      </c>
      <c r="BR21" t="s">
        <v>15</v>
      </c>
      <c r="BS21" t="s">
        <v>246</v>
      </c>
    </row>
    <row r="22" spans="1:71" x14ac:dyDescent="0.25">
      <c r="A22">
        <v>41</v>
      </c>
      <c r="B22" t="s">
        <v>271</v>
      </c>
      <c r="C22" t="s">
        <v>272</v>
      </c>
      <c r="D22" t="s">
        <v>198</v>
      </c>
      <c r="E22" t="s">
        <v>372</v>
      </c>
      <c r="F22" t="s">
        <v>2</v>
      </c>
      <c r="G22" t="s">
        <v>200</v>
      </c>
      <c r="I22" t="s">
        <v>334</v>
      </c>
      <c r="K22" t="s">
        <v>202</v>
      </c>
      <c r="L22" t="s">
        <v>274</v>
      </c>
      <c r="M22" t="s">
        <v>275</v>
      </c>
      <c r="N22" t="s">
        <v>276</v>
      </c>
      <c r="O22" t="s">
        <v>304</v>
      </c>
      <c r="P22" t="s">
        <v>333</v>
      </c>
      <c r="Q22" t="s">
        <v>288</v>
      </c>
      <c r="R22" t="s">
        <v>289</v>
      </c>
      <c r="S22" t="s">
        <v>290</v>
      </c>
      <c r="T22" t="s">
        <v>207</v>
      </c>
      <c r="U22" t="s">
        <v>208</v>
      </c>
      <c r="V22" t="s">
        <v>209</v>
      </c>
      <c r="W22" t="s">
        <v>32</v>
      </c>
      <c r="X22" t="s">
        <v>32</v>
      </c>
      <c r="Y22" t="s">
        <v>32</v>
      </c>
      <c r="Z22" t="s">
        <v>305</v>
      </c>
      <c r="AA22" t="s">
        <v>214</v>
      </c>
      <c r="AB22" t="s">
        <v>215</v>
      </c>
      <c r="AC22" t="s">
        <v>216</v>
      </c>
      <c r="AD22" t="s">
        <v>217</v>
      </c>
      <c r="AE22" t="s">
        <v>218</v>
      </c>
      <c r="AF22" t="s">
        <v>219</v>
      </c>
      <c r="AG22" t="s">
        <v>32</v>
      </c>
      <c r="AH22" t="s">
        <v>32</v>
      </c>
      <c r="AI22" t="s">
        <v>32</v>
      </c>
      <c r="AJ22" t="s">
        <v>305</v>
      </c>
      <c r="AK22" t="s">
        <v>221</v>
      </c>
      <c r="AL22" t="s">
        <v>222</v>
      </c>
      <c r="AM22" t="s">
        <v>223</v>
      </c>
      <c r="AN22" t="s">
        <v>294</v>
      </c>
      <c r="AO22" t="s">
        <v>295</v>
      </c>
      <c r="AP22" t="s">
        <v>225</v>
      </c>
      <c r="AQ22" t="s">
        <v>226</v>
      </c>
      <c r="AR22" t="s">
        <v>227</v>
      </c>
      <c r="AS22" t="s">
        <v>228</v>
      </c>
      <c r="AT22" t="s">
        <v>229</v>
      </c>
      <c r="AU22" t="s">
        <v>230</v>
      </c>
      <c r="AV22" t="s">
        <v>231</v>
      </c>
      <c r="AW22" t="s">
        <v>232</v>
      </c>
      <c r="AX22" t="s">
        <v>233</v>
      </c>
      <c r="AY22" t="s">
        <v>234</v>
      </c>
      <c r="AZ22" t="s">
        <v>235</v>
      </c>
      <c r="BA22" t="s">
        <v>236</v>
      </c>
      <c r="BB22" t="s">
        <v>237</v>
      </c>
      <c r="BC22" t="s">
        <v>238</v>
      </c>
      <c r="BD22" t="s">
        <v>239</v>
      </c>
      <c r="BE22" t="s">
        <v>240</v>
      </c>
      <c r="BF22" t="s">
        <v>241</v>
      </c>
      <c r="BG22" t="s">
        <v>306</v>
      </c>
      <c r="BH22" t="s">
        <v>358</v>
      </c>
      <c r="BI22" t="s">
        <v>359</v>
      </c>
      <c r="BJ22" t="s">
        <v>308</v>
      </c>
      <c r="BK22" t="s">
        <v>32</v>
      </c>
      <c r="BL22" t="s">
        <v>32</v>
      </c>
      <c r="BM22" t="s">
        <v>15</v>
      </c>
      <c r="BN22" t="s">
        <v>32</v>
      </c>
      <c r="BO22" t="s">
        <v>32</v>
      </c>
      <c r="BP22" t="s">
        <v>32</v>
      </c>
      <c r="BQ22" t="s">
        <v>32</v>
      </c>
      <c r="BR22" t="s">
        <v>15</v>
      </c>
      <c r="BS22" t="s">
        <v>246</v>
      </c>
    </row>
    <row r="23" spans="1:71" x14ac:dyDescent="0.25">
      <c r="A23">
        <v>42</v>
      </c>
      <c r="B23" t="s">
        <v>277</v>
      </c>
      <c r="C23" t="s">
        <v>272</v>
      </c>
      <c r="D23" t="s">
        <v>198</v>
      </c>
      <c r="E23" t="s">
        <v>372</v>
      </c>
      <c r="F23" t="s">
        <v>2</v>
      </c>
      <c r="G23" t="s">
        <v>200</v>
      </c>
      <c r="I23" t="s">
        <v>278</v>
      </c>
      <c r="K23" t="s">
        <v>202</v>
      </c>
      <c r="L23" t="s">
        <v>279</v>
      </c>
      <c r="M23" t="s">
        <v>280</v>
      </c>
      <c r="N23" t="s">
        <v>281</v>
      </c>
      <c r="O23" t="s">
        <v>304</v>
      </c>
      <c r="P23" t="s">
        <v>333</v>
      </c>
      <c r="Q23" t="s">
        <v>288</v>
      </c>
      <c r="R23" t="s">
        <v>289</v>
      </c>
      <c r="S23" t="s">
        <v>290</v>
      </c>
      <c r="T23" t="s">
        <v>207</v>
      </c>
      <c r="U23" t="s">
        <v>208</v>
      </c>
      <c r="V23" t="s">
        <v>209</v>
      </c>
      <c r="W23" t="s">
        <v>32</v>
      </c>
      <c r="X23" t="s">
        <v>32</v>
      </c>
      <c r="Y23" t="s">
        <v>32</v>
      </c>
      <c r="Z23" t="s">
        <v>305</v>
      </c>
      <c r="AA23" t="s">
        <v>214</v>
      </c>
      <c r="AB23" t="s">
        <v>215</v>
      </c>
      <c r="AC23" t="s">
        <v>216</v>
      </c>
      <c r="AD23" t="s">
        <v>217</v>
      </c>
      <c r="AE23" t="s">
        <v>218</v>
      </c>
      <c r="AF23" t="s">
        <v>219</v>
      </c>
      <c r="AG23" t="s">
        <v>32</v>
      </c>
      <c r="AH23" t="s">
        <v>32</v>
      </c>
      <c r="AI23" t="s">
        <v>32</v>
      </c>
      <c r="AJ23" t="s">
        <v>305</v>
      </c>
      <c r="AK23" t="s">
        <v>221</v>
      </c>
      <c r="AL23" t="s">
        <v>222</v>
      </c>
      <c r="AM23" t="s">
        <v>223</v>
      </c>
      <c r="AN23" t="s">
        <v>294</v>
      </c>
      <c r="AO23" t="s">
        <v>295</v>
      </c>
      <c r="AP23" t="s">
        <v>225</v>
      </c>
      <c r="AQ23" t="s">
        <v>226</v>
      </c>
      <c r="AR23" t="s">
        <v>227</v>
      </c>
      <c r="AS23" t="s">
        <v>228</v>
      </c>
      <c r="AT23" t="s">
        <v>229</v>
      </c>
      <c r="AU23" t="s">
        <v>230</v>
      </c>
      <c r="AV23" t="s">
        <v>231</v>
      </c>
      <c r="AW23" t="s">
        <v>232</v>
      </c>
      <c r="AX23" t="s">
        <v>233</v>
      </c>
      <c r="AY23" t="s">
        <v>234</v>
      </c>
      <c r="AZ23" t="s">
        <v>235</v>
      </c>
      <c r="BA23" t="s">
        <v>236</v>
      </c>
      <c r="BB23" t="s">
        <v>237</v>
      </c>
      <c r="BC23" t="s">
        <v>238</v>
      </c>
      <c r="BD23" t="s">
        <v>239</v>
      </c>
      <c r="BE23" t="s">
        <v>240</v>
      </c>
      <c r="BF23" t="s">
        <v>241</v>
      </c>
      <c r="BG23" t="s">
        <v>306</v>
      </c>
      <c r="BH23" t="s">
        <v>358</v>
      </c>
      <c r="BI23" t="s">
        <v>359</v>
      </c>
      <c r="BJ23" t="s">
        <v>308</v>
      </c>
      <c r="BK23" t="s">
        <v>32</v>
      </c>
      <c r="BL23" t="s">
        <v>32</v>
      </c>
      <c r="BM23" t="s">
        <v>15</v>
      </c>
      <c r="BN23" t="s">
        <v>32</v>
      </c>
      <c r="BO23" t="s">
        <v>32</v>
      </c>
      <c r="BP23" t="s">
        <v>32</v>
      </c>
      <c r="BQ23" t="s">
        <v>32</v>
      </c>
      <c r="BR23" t="s">
        <v>15</v>
      </c>
      <c r="BS23" t="s">
        <v>246</v>
      </c>
    </row>
    <row r="24" spans="1:71" x14ac:dyDescent="0.25">
      <c r="A24">
        <v>94</v>
      </c>
      <c r="B24" t="s">
        <v>403</v>
      </c>
      <c r="C24" t="s">
        <v>197</v>
      </c>
      <c r="D24" t="s">
        <v>198</v>
      </c>
      <c r="E24" t="s">
        <v>397</v>
      </c>
      <c r="F24" t="s">
        <v>2</v>
      </c>
      <c r="G24" t="s">
        <v>200</v>
      </c>
      <c r="I24" t="s">
        <v>404</v>
      </c>
      <c r="K24" t="s">
        <v>202</v>
      </c>
      <c r="L24" t="s">
        <v>330</v>
      </c>
      <c r="M24" t="s">
        <v>331</v>
      </c>
      <c r="N24" t="s">
        <v>205</v>
      </c>
      <c r="O24" t="s">
        <v>385</v>
      </c>
      <c r="P24" t="s">
        <v>304</v>
      </c>
      <c r="Q24" t="s">
        <v>288</v>
      </c>
      <c r="R24" t="s">
        <v>289</v>
      </c>
      <c r="S24" t="s">
        <v>290</v>
      </c>
      <c r="T24" t="s">
        <v>207</v>
      </c>
      <c r="U24" t="s">
        <v>208</v>
      </c>
      <c r="V24" t="s">
        <v>209</v>
      </c>
      <c r="W24" t="s">
        <v>32</v>
      </c>
      <c r="X24" t="s">
        <v>32</v>
      </c>
      <c r="Y24" t="s">
        <v>32</v>
      </c>
      <c r="Z24" t="s">
        <v>305</v>
      </c>
      <c r="AA24" t="s">
        <v>214</v>
      </c>
      <c r="AB24" t="s">
        <v>215</v>
      </c>
      <c r="AC24" t="s">
        <v>216</v>
      </c>
      <c r="AD24" t="s">
        <v>217</v>
      </c>
      <c r="AE24" t="s">
        <v>218</v>
      </c>
      <c r="AF24" t="s">
        <v>219</v>
      </c>
      <c r="AG24" t="s">
        <v>32</v>
      </c>
      <c r="AH24" t="s">
        <v>32</v>
      </c>
      <c r="AI24" t="s">
        <v>32</v>
      </c>
      <c r="AJ24" t="s">
        <v>305</v>
      </c>
      <c r="AK24" t="s">
        <v>221</v>
      </c>
      <c r="AL24" t="s">
        <v>222</v>
      </c>
      <c r="AM24" t="s">
        <v>223</v>
      </c>
      <c r="AN24" t="s">
        <v>294</v>
      </c>
      <c r="AO24" t="s">
        <v>295</v>
      </c>
      <c r="AP24" t="s">
        <v>225</v>
      </c>
      <c r="AQ24" t="s">
        <v>226</v>
      </c>
      <c r="AR24" t="s">
        <v>227</v>
      </c>
      <c r="AS24" t="s">
        <v>228</v>
      </c>
      <c r="AT24" t="s">
        <v>229</v>
      </c>
      <c r="AU24" t="s">
        <v>230</v>
      </c>
      <c r="AV24" t="s">
        <v>231</v>
      </c>
      <c r="AW24" t="s">
        <v>232</v>
      </c>
      <c r="AX24" t="s">
        <v>233</v>
      </c>
      <c r="AY24" t="s">
        <v>234</v>
      </c>
      <c r="AZ24" t="s">
        <v>235</v>
      </c>
      <c r="BA24" t="s">
        <v>236</v>
      </c>
      <c r="BB24" t="s">
        <v>237</v>
      </c>
      <c r="BC24" t="s">
        <v>238</v>
      </c>
      <c r="BD24" t="s">
        <v>239</v>
      </c>
      <c r="BE24" t="s">
        <v>240</v>
      </c>
      <c r="BF24" t="s">
        <v>241</v>
      </c>
      <c r="BG24" t="s">
        <v>306</v>
      </c>
      <c r="BH24" t="s">
        <v>307</v>
      </c>
      <c r="BI24" t="s">
        <v>244</v>
      </c>
      <c r="BJ24" t="s">
        <v>308</v>
      </c>
      <c r="BK24" t="s">
        <v>32</v>
      </c>
      <c r="BL24" t="s">
        <v>32</v>
      </c>
      <c r="BM24" t="s">
        <v>15</v>
      </c>
      <c r="BN24" t="s">
        <v>32</v>
      </c>
      <c r="BO24" t="s">
        <v>32</v>
      </c>
      <c r="BP24" t="s">
        <v>32</v>
      </c>
      <c r="BQ24" t="s">
        <v>32</v>
      </c>
      <c r="BR24" t="s">
        <v>15</v>
      </c>
      <c r="BS24" t="s">
        <v>246</v>
      </c>
    </row>
    <row r="25" spans="1:71" x14ac:dyDescent="0.25">
      <c r="A25">
        <v>95</v>
      </c>
      <c r="B25" t="s">
        <v>401</v>
      </c>
      <c r="C25" t="s">
        <v>248</v>
      </c>
      <c r="D25" t="s">
        <v>198</v>
      </c>
      <c r="E25" t="s">
        <v>397</v>
      </c>
      <c r="F25" t="s">
        <v>2</v>
      </c>
      <c r="G25" t="s">
        <v>200</v>
      </c>
      <c r="I25" t="s">
        <v>402</v>
      </c>
      <c r="K25" t="s">
        <v>202</v>
      </c>
      <c r="L25" t="s">
        <v>300</v>
      </c>
      <c r="M25" t="s">
        <v>301</v>
      </c>
      <c r="N25" t="s">
        <v>302</v>
      </c>
      <c r="O25" t="s">
        <v>385</v>
      </c>
      <c r="P25" t="s">
        <v>304</v>
      </c>
      <c r="Q25" t="s">
        <v>288</v>
      </c>
      <c r="R25" t="s">
        <v>289</v>
      </c>
      <c r="S25" t="s">
        <v>290</v>
      </c>
      <c r="T25" t="s">
        <v>207</v>
      </c>
      <c r="U25" t="s">
        <v>208</v>
      </c>
      <c r="V25" t="s">
        <v>209</v>
      </c>
      <c r="W25" t="s">
        <v>32</v>
      </c>
      <c r="X25" t="s">
        <v>32</v>
      </c>
      <c r="Y25" t="s">
        <v>32</v>
      </c>
      <c r="Z25" t="s">
        <v>305</v>
      </c>
      <c r="AA25" t="s">
        <v>214</v>
      </c>
      <c r="AB25" t="s">
        <v>215</v>
      </c>
      <c r="AC25" t="s">
        <v>216</v>
      </c>
      <c r="AD25" t="s">
        <v>217</v>
      </c>
      <c r="AE25" t="s">
        <v>218</v>
      </c>
      <c r="AF25" t="s">
        <v>219</v>
      </c>
      <c r="AG25" t="s">
        <v>32</v>
      </c>
      <c r="AH25" t="s">
        <v>32</v>
      </c>
      <c r="AI25" t="s">
        <v>32</v>
      </c>
      <c r="AJ25" t="s">
        <v>305</v>
      </c>
      <c r="AK25" t="s">
        <v>221</v>
      </c>
      <c r="AL25" t="s">
        <v>222</v>
      </c>
      <c r="AM25" t="s">
        <v>223</v>
      </c>
      <c r="AN25" t="s">
        <v>294</v>
      </c>
      <c r="AO25" t="s">
        <v>295</v>
      </c>
      <c r="AP25" t="s">
        <v>225</v>
      </c>
      <c r="AQ25" t="s">
        <v>226</v>
      </c>
      <c r="AR25" t="s">
        <v>227</v>
      </c>
      <c r="AS25" t="s">
        <v>228</v>
      </c>
      <c r="AT25" t="s">
        <v>229</v>
      </c>
      <c r="AU25" t="s">
        <v>230</v>
      </c>
      <c r="AV25" t="s">
        <v>231</v>
      </c>
      <c r="AW25" t="s">
        <v>232</v>
      </c>
      <c r="AX25" t="s">
        <v>233</v>
      </c>
      <c r="AY25" t="s">
        <v>234</v>
      </c>
      <c r="AZ25" t="s">
        <v>235</v>
      </c>
      <c r="BA25" t="s">
        <v>236</v>
      </c>
      <c r="BB25" t="s">
        <v>237</v>
      </c>
      <c r="BC25" t="s">
        <v>238</v>
      </c>
      <c r="BD25" t="s">
        <v>239</v>
      </c>
      <c r="BE25" t="s">
        <v>240</v>
      </c>
      <c r="BF25" t="s">
        <v>241</v>
      </c>
      <c r="BG25" t="s">
        <v>306</v>
      </c>
      <c r="BH25" t="s">
        <v>307</v>
      </c>
      <c r="BI25" t="s">
        <v>244</v>
      </c>
      <c r="BJ25" t="s">
        <v>308</v>
      </c>
      <c r="BK25" t="s">
        <v>32</v>
      </c>
      <c r="BL25" t="s">
        <v>32</v>
      </c>
      <c r="BM25" t="s">
        <v>15</v>
      </c>
      <c r="BN25" t="s">
        <v>32</v>
      </c>
      <c r="BO25" t="s">
        <v>32</v>
      </c>
      <c r="BP25" t="s">
        <v>32</v>
      </c>
      <c r="BQ25" t="s">
        <v>32</v>
      </c>
      <c r="BR25" t="s">
        <v>15</v>
      </c>
      <c r="BS25" t="s">
        <v>246</v>
      </c>
    </row>
    <row r="26" spans="1:71" x14ac:dyDescent="0.25">
      <c r="A26">
        <v>96</v>
      </c>
      <c r="B26" t="s">
        <v>399</v>
      </c>
      <c r="C26" t="s">
        <v>260</v>
      </c>
      <c r="D26" t="s">
        <v>198</v>
      </c>
      <c r="E26" t="s">
        <v>397</v>
      </c>
      <c r="F26" t="s">
        <v>2</v>
      </c>
      <c r="G26" t="s">
        <v>200</v>
      </c>
      <c r="I26" t="s">
        <v>400</v>
      </c>
      <c r="K26" t="s">
        <v>202</v>
      </c>
      <c r="L26" t="s">
        <v>323</v>
      </c>
      <c r="M26" t="s">
        <v>324</v>
      </c>
      <c r="N26" t="s">
        <v>325</v>
      </c>
      <c r="O26" t="s">
        <v>385</v>
      </c>
      <c r="P26" t="s">
        <v>304</v>
      </c>
      <c r="Q26" t="s">
        <v>288</v>
      </c>
      <c r="R26" t="s">
        <v>289</v>
      </c>
      <c r="S26" t="s">
        <v>290</v>
      </c>
      <c r="T26" t="s">
        <v>207</v>
      </c>
      <c r="U26" t="s">
        <v>208</v>
      </c>
      <c r="V26" t="s">
        <v>209</v>
      </c>
      <c r="W26" t="s">
        <v>32</v>
      </c>
      <c r="X26" t="s">
        <v>32</v>
      </c>
      <c r="Y26" t="s">
        <v>32</v>
      </c>
      <c r="Z26" t="s">
        <v>305</v>
      </c>
      <c r="AA26" t="s">
        <v>214</v>
      </c>
      <c r="AB26" t="s">
        <v>215</v>
      </c>
      <c r="AC26" t="s">
        <v>216</v>
      </c>
      <c r="AD26" t="s">
        <v>217</v>
      </c>
      <c r="AE26" t="s">
        <v>218</v>
      </c>
      <c r="AF26" t="s">
        <v>219</v>
      </c>
      <c r="AG26" t="s">
        <v>32</v>
      </c>
      <c r="AH26" t="s">
        <v>32</v>
      </c>
      <c r="AI26" t="s">
        <v>32</v>
      </c>
      <c r="AJ26" t="s">
        <v>305</v>
      </c>
      <c r="AK26" t="s">
        <v>221</v>
      </c>
      <c r="AL26" t="s">
        <v>222</v>
      </c>
      <c r="AM26" t="s">
        <v>223</v>
      </c>
      <c r="AN26" t="s">
        <v>294</v>
      </c>
      <c r="AO26" t="s">
        <v>295</v>
      </c>
      <c r="AP26" t="s">
        <v>225</v>
      </c>
      <c r="AQ26" t="s">
        <v>226</v>
      </c>
      <c r="AR26" t="s">
        <v>227</v>
      </c>
      <c r="AS26" t="s">
        <v>228</v>
      </c>
      <c r="AT26" t="s">
        <v>229</v>
      </c>
      <c r="AU26" t="s">
        <v>230</v>
      </c>
      <c r="AV26" t="s">
        <v>231</v>
      </c>
      <c r="AW26" t="s">
        <v>232</v>
      </c>
      <c r="AX26" t="s">
        <v>233</v>
      </c>
      <c r="AY26" t="s">
        <v>234</v>
      </c>
      <c r="AZ26" t="s">
        <v>235</v>
      </c>
      <c r="BA26" t="s">
        <v>236</v>
      </c>
      <c r="BB26" t="s">
        <v>237</v>
      </c>
      <c r="BC26" t="s">
        <v>238</v>
      </c>
      <c r="BD26" t="s">
        <v>239</v>
      </c>
      <c r="BE26" t="s">
        <v>240</v>
      </c>
      <c r="BF26" t="s">
        <v>241</v>
      </c>
      <c r="BG26" t="s">
        <v>306</v>
      </c>
      <c r="BH26" t="s">
        <v>307</v>
      </c>
      <c r="BI26" t="s">
        <v>244</v>
      </c>
      <c r="BJ26" t="s">
        <v>308</v>
      </c>
      <c r="BK26" t="s">
        <v>32</v>
      </c>
      <c r="BL26" t="s">
        <v>32</v>
      </c>
      <c r="BM26" t="s">
        <v>15</v>
      </c>
      <c r="BN26" t="s">
        <v>32</v>
      </c>
      <c r="BO26" t="s">
        <v>32</v>
      </c>
      <c r="BP26" t="s">
        <v>32</v>
      </c>
      <c r="BQ26" t="s">
        <v>32</v>
      </c>
      <c r="BR26" t="s">
        <v>15</v>
      </c>
      <c r="BS26" t="s">
        <v>246</v>
      </c>
    </row>
    <row r="27" spans="1:71" x14ac:dyDescent="0.25">
      <c r="A27">
        <v>97</v>
      </c>
      <c r="B27" t="s">
        <v>396</v>
      </c>
      <c r="C27" t="s">
        <v>266</v>
      </c>
      <c r="D27" t="s">
        <v>198</v>
      </c>
      <c r="E27" t="s">
        <v>397</v>
      </c>
      <c r="F27" t="s">
        <v>2</v>
      </c>
      <c r="G27" t="s">
        <v>200</v>
      </c>
      <c r="I27" t="s">
        <v>398</v>
      </c>
      <c r="K27" t="s">
        <v>202</v>
      </c>
      <c r="L27" t="s">
        <v>318</v>
      </c>
      <c r="M27" t="s">
        <v>319</v>
      </c>
      <c r="N27" t="s">
        <v>320</v>
      </c>
      <c r="O27" t="s">
        <v>385</v>
      </c>
      <c r="P27" t="s">
        <v>304</v>
      </c>
      <c r="Q27" t="s">
        <v>288</v>
      </c>
      <c r="R27" t="s">
        <v>289</v>
      </c>
      <c r="S27" t="s">
        <v>290</v>
      </c>
      <c r="T27" t="s">
        <v>207</v>
      </c>
      <c r="U27" t="s">
        <v>208</v>
      </c>
      <c r="V27" t="s">
        <v>209</v>
      </c>
      <c r="W27" t="s">
        <v>32</v>
      </c>
      <c r="X27" t="s">
        <v>32</v>
      </c>
      <c r="Y27" t="s">
        <v>32</v>
      </c>
      <c r="Z27" t="s">
        <v>305</v>
      </c>
      <c r="AA27" t="s">
        <v>214</v>
      </c>
      <c r="AB27" t="s">
        <v>215</v>
      </c>
      <c r="AC27" t="s">
        <v>216</v>
      </c>
      <c r="AD27" t="s">
        <v>217</v>
      </c>
      <c r="AE27" t="s">
        <v>218</v>
      </c>
      <c r="AF27" t="s">
        <v>219</v>
      </c>
      <c r="AG27" t="s">
        <v>32</v>
      </c>
      <c r="AH27" t="s">
        <v>32</v>
      </c>
      <c r="AI27" t="s">
        <v>32</v>
      </c>
      <c r="AJ27" t="s">
        <v>305</v>
      </c>
      <c r="AK27" t="s">
        <v>221</v>
      </c>
      <c r="AL27" t="s">
        <v>222</v>
      </c>
      <c r="AM27" t="s">
        <v>223</v>
      </c>
      <c r="AN27" t="s">
        <v>294</v>
      </c>
      <c r="AO27" t="s">
        <v>295</v>
      </c>
      <c r="AP27" t="s">
        <v>225</v>
      </c>
      <c r="AQ27" t="s">
        <v>226</v>
      </c>
      <c r="AR27" t="s">
        <v>227</v>
      </c>
      <c r="AS27" t="s">
        <v>228</v>
      </c>
      <c r="AT27" t="s">
        <v>229</v>
      </c>
      <c r="AU27" t="s">
        <v>230</v>
      </c>
      <c r="AV27" t="s">
        <v>231</v>
      </c>
      <c r="AW27" t="s">
        <v>232</v>
      </c>
      <c r="AX27" t="s">
        <v>233</v>
      </c>
      <c r="AY27" t="s">
        <v>234</v>
      </c>
      <c r="AZ27" t="s">
        <v>235</v>
      </c>
      <c r="BA27" t="s">
        <v>236</v>
      </c>
      <c r="BB27" t="s">
        <v>237</v>
      </c>
      <c r="BC27" t="s">
        <v>238</v>
      </c>
      <c r="BD27" t="s">
        <v>239</v>
      </c>
      <c r="BE27" t="s">
        <v>240</v>
      </c>
      <c r="BF27" t="s">
        <v>241</v>
      </c>
      <c r="BG27" t="s">
        <v>306</v>
      </c>
      <c r="BH27" t="s">
        <v>307</v>
      </c>
      <c r="BI27" t="s">
        <v>244</v>
      </c>
      <c r="BJ27" t="s">
        <v>308</v>
      </c>
      <c r="BK27" t="s">
        <v>32</v>
      </c>
      <c r="BL27" t="s">
        <v>32</v>
      </c>
      <c r="BM27" t="s">
        <v>15</v>
      </c>
      <c r="BN27" t="s">
        <v>32</v>
      </c>
      <c r="BO27" t="s">
        <v>32</v>
      </c>
      <c r="BP27" t="s">
        <v>32</v>
      </c>
      <c r="BQ27" t="s">
        <v>32</v>
      </c>
      <c r="BR27" t="s">
        <v>15</v>
      </c>
      <c r="BS27" t="s">
        <v>246</v>
      </c>
    </row>
    <row r="28" spans="1:71" x14ac:dyDescent="0.25">
      <c r="A28">
        <v>100</v>
      </c>
      <c r="B28" t="s">
        <v>393</v>
      </c>
      <c r="C28" t="s">
        <v>197</v>
      </c>
      <c r="D28" t="s">
        <v>198</v>
      </c>
      <c r="E28" t="s">
        <v>387</v>
      </c>
      <c r="F28" t="s">
        <v>2</v>
      </c>
      <c r="G28" t="s">
        <v>200</v>
      </c>
      <c r="I28" t="s">
        <v>394</v>
      </c>
      <c r="K28" t="s">
        <v>202</v>
      </c>
      <c r="L28" t="s">
        <v>330</v>
      </c>
      <c r="M28" t="s">
        <v>331</v>
      </c>
      <c r="N28" t="s">
        <v>205</v>
      </c>
      <c r="O28" t="s">
        <v>304</v>
      </c>
      <c r="P28" t="s">
        <v>385</v>
      </c>
      <c r="Q28" t="s">
        <v>288</v>
      </c>
      <c r="R28" t="s">
        <v>289</v>
      </c>
      <c r="S28" t="s">
        <v>290</v>
      </c>
      <c r="T28" t="s">
        <v>207</v>
      </c>
      <c r="U28" t="s">
        <v>208</v>
      </c>
      <c r="V28" t="s">
        <v>209</v>
      </c>
      <c r="W28" t="s">
        <v>32</v>
      </c>
      <c r="X28" t="s">
        <v>32</v>
      </c>
      <c r="Y28" t="s">
        <v>32</v>
      </c>
      <c r="Z28" t="s">
        <v>305</v>
      </c>
      <c r="AA28" t="s">
        <v>214</v>
      </c>
      <c r="AB28" t="s">
        <v>215</v>
      </c>
      <c r="AC28" t="s">
        <v>216</v>
      </c>
      <c r="AD28" t="s">
        <v>217</v>
      </c>
      <c r="AE28" t="s">
        <v>218</v>
      </c>
      <c r="AF28" t="s">
        <v>219</v>
      </c>
      <c r="AG28" t="s">
        <v>32</v>
      </c>
      <c r="AH28" t="s">
        <v>32</v>
      </c>
      <c r="AI28" t="s">
        <v>32</v>
      </c>
      <c r="AJ28" t="s">
        <v>305</v>
      </c>
      <c r="AK28" t="s">
        <v>221</v>
      </c>
      <c r="AL28" t="s">
        <v>222</v>
      </c>
      <c r="AM28" t="s">
        <v>223</v>
      </c>
      <c r="AN28" t="s">
        <v>294</v>
      </c>
      <c r="AO28" t="s">
        <v>295</v>
      </c>
      <c r="AP28" t="s">
        <v>225</v>
      </c>
      <c r="AQ28" t="s">
        <v>226</v>
      </c>
      <c r="AR28" t="s">
        <v>227</v>
      </c>
      <c r="AS28" t="s">
        <v>228</v>
      </c>
      <c r="AT28" t="s">
        <v>229</v>
      </c>
      <c r="AU28" t="s">
        <v>230</v>
      </c>
      <c r="AV28" t="s">
        <v>231</v>
      </c>
      <c r="AW28" t="s">
        <v>232</v>
      </c>
      <c r="AX28" t="s">
        <v>233</v>
      </c>
      <c r="AY28" t="s">
        <v>234</v>
      </c>
      <c r="AZ28" t="s">
        <v>235</v>
      </c>
      <c r="BA28" t="s">
        <v>236</v>
      </c>
      <c r="BB28" t="s">
        <v>237</v>
      </c>
      <c r="BC28" t="s">
        <v>238</v>
      </c>
      <c r="BD28" t="s">
        <v>239</v>
      </c>
      <c r="BE28" t="s">
        <v>240</v>
      </c>
      <c r="BF28" t="s">
        <v>241</v>
      </c>
      <c r="BG28" t="s">
        <v>306</v>
      </c>
      <c r="BH28" t="s">
        <v>307</v>
      </c>
      <c r="BI28" t="s">
        <v>244</v>
      </c>
      <c r="BJ28" t="s">
        <v>308</v>
      </c>
      <c r="BK28" t="s">
        <v>32</v>
      </c>
      <c r="BL28" t="s">
        <v>32</v>
      </c>
      <c r="BM28" t="s">
        <v>15</v>
      </c>
      <c r="BN28" t="s">
        <v>32</v>
      </c>
      <c r="BO28" t="s">
        <v>32</v>
      </c>
      <c r="BP28" t="s">
        <v>32</v>
      </c>
      <c r="BQ28" t="s">
        <v>32</v>
      </c>
      <c r="BR28" t="s">
        <v>15</v>
      </c>
      <c r="BS28" t="s">
        <v>246</v>
      </c>
    </row>
    <row r="29" spans="1:71" x14ac:dyDescent="0.25">
      <c r="A29">
        <v>101</v>
      </c>
      <c r="B29" t="s">
        <v>391</v>
      </c>
      <c r="C29" t="s">
        <v>248</v>
      </c>
      <c r="D29" t="s">
        <v>198</v>
      </c>
      <c r="E29" t="s">
        <v>387</v>
      </c>
      <c r="F29" t="s">
        <v>2</v>
      </c>
      <c r="G29" t="s">
        <v>200</v>
      </c>
      <c r="I29" t="s">
        <v>392</v>
      </c>
      <c r="K29" t="s">
        <v>202</v>
      </c>
      <c r="L29" t="s">
        <v>300</v>
      </c>
      <c r="M29" t="s">
        <v>301</v>
      </c>
      <c r="N29" t="s">
        <v>302</v>
      </c>
      <c r="O29" t="s">
        <v>304</v>
      </c>
      <c r="P29" t="s">
        <v>385</v>
      </c>
      <c r="Q29" t="s">
        <v>288</v>
      </c>
      <c r="R29" t="s">
        <v>289</v>
      </c>
      <c r="S29" t="s">
        <v>290</v>
      </c>
      <c r="T29" t="s">
        <v>207</v>
      </c>
      <c r="U29" t="s">
        <v>208</v>
      </c>
      <c r="V29" t="s">
        <v>209</v>
      </c>
      <c r="W29" t="s">
        <v>32</v>
      </c>
      <c r="X29" t="s">
        <v>32</v>
      </c>
      <c r="Y29" t="s">
        <v>32</v>
      </c>
      <c r="Z29" t="s">
        <v>305</v>
      </c>
      <c r="AA29" t="s">
        <v>214</v>
      </c>
      <c r="AB29" t="s">
        <v>215</v>
      </c>
      <c r="AC29" t="s">
        <v>216</v>
      </c>
      <c r="AD29" t="s">
        <v>217</v>
      </c>
      <c r="AE29" t="s">
        <v>218</v>
      </c>
      <c r="AF29" t="s">
        <v>219</v>
      </c>
      <c r="AG29" t="s">
        <v>32</v>
      </c>
      <c r="AH29" t="s">
        <v>32</v>
      </c>
      <c r="AI29" t="s">
        <v>32</v>
      </c>
      <c r="AJ29" t="s">
        <v>305</v>
      </c>
      <c r="AK29" t="s">
        <v>221</v>
      </c>
      <c r="AL29" t="s">
        <v>222</v>
      </c>
      <c r="AM29" t="s">
        <v>223</v>
      </c>
      <c r="AN29" t="s">
        <v>294</v>
      </c>
      <c r="AO29" t="s">
        <v>295</v>
      </c>
      <c r="AP29" t="s">
        <v>225</v>
      </c>
      <c r="AQ29" t="s">
        <v>226</v>
      </c>
      <c r="AR29" t="s">
        <v>227</v>
      </c>
      <c r="AS29" t="s">
        <v>228</v>
      </c>
      <c r="AT29" t="s">
        <v>229</v>
      </c>
      <c r="AU29" t="s">
        <v>230</v>
      </c>
      <c r="AV29" t="s">
        <v>231</v>
      </c>
      <c r="AW29" t="s">
        <v>232</v>
      </c>
      <c r="AX29" t="s">
        <v>233</v>
      </c>
      <c r="AY29" t="s">
        <v>234</v>
      </c>
      <c r="AZ29" t="s">
        <v>235</v>
      </c>
      <c r="BA29" t="s">
        <v>236</v>
      </c>
      <c r="BB29" t="s">
        <v>237</v>
      </c>
      <c r="BC29" t="s">
        <v>238</v>
      </c>
      <c r="BD29" t="s">
        <v>239</v>
      </c>
      <c r="BE29" t="s">
        <v>240</v>
      </c>
      <c r="BF29" t="s">
        <v>241</v>
      </c>
      <c r="BG29" t="s">
        <v>306</v>
      </c>
      <c r="BH29" t="s">
        <v>307</v>
      </c>
      <c r="BI29" t="s">
        <v>244</v>
      </c>
      <c r="BJ29" t="s">
        <v>308</v>
      </c>
      <c r="BK29" t="s">
        <v>32</v>
      </c>
      <c r="BL29" t="s">
        <v>32</v>
      </c>
      <c r="BM29" t="s">
        <v>15</v>
      </c>
      <c r="BN29" t="s">
        <v>32</v>
      </c>
      <c r="BO29" t="s">
        <v>32</v>
      </c>
      <c r="BP29" t="s">
        <v>32</v>
      </c>
      <c r="BQ29" t="s">
        <v>32</v>
      </c>
      <c r="BR29" t="s">
        <v>15</v>
      </c>
      <c r="BS29" t="s">
        <v>246</v>
      </c>
    </row>
    <row r="30" spans="1:71" x14ac:dyDescent="0.25">
      <c r="A30">
        <v>102</v>
      </c>
      <c r="B30" t="s">
        <v>389</v>
      </c>
      <c r="C30" t="s">
        <v>260</v>
      </c>
      <c r="D30" t="s">
        <v>198</v>
      </c>
      <c r="E30" t="s">
        <v>387</v>
      </c>
      <c r="F30" t="s">
        <v>2</v>
      </c>
      <c r="G30" t="s">
        <v>200</v>
      </c>
      <c r="I30" t="s">
        <v>390</v>
      </c>
      <c r="K30" t="s">
        <v>202</v>
      </c>
      <c r="L30" t="s">
        <v>323</v>
      </c>
      <c r="M30" t="s">
        <v>324</v>
      </c>
      <c r="N30" t="s">
        <v>325</v>
      </c>
      <c r="O30" t="s">
        <v>304</v>
      </c>
      <c r="P30" t="s">
        <v>385</v>
      </c>
      <c r="Q30" t="s">
        <v>288</v>
      </c>
      <c r="R30" t="s">
        <v>289</v>
      </c>
      <c r="S30" t="s">
        <v>290</v>
      </c>
      <c r="T30" t="s">
        <v>207</v>
      </c>
      <c r="U30" t="s">
        <v>208</v>
      </c>
      <c r="V30" t="s">
        <v>209</v>
      </c>
      <c r="W30" t="s">
        <v>32</v>
      </c>
      <c r="X30" t="s">
        <v>32</v>
      </c>
      <c r="Y30" t="s">
        <v>32</v>
      </c>
      <c r="Z30" t="s">
        <v>305</v>
      </c>
      <c r="AA30" t="s">
        <v>214</v>
      </c>
      <c r="AB30" t="s">
        <v>215</v>
      </c>
      <c r="AC30" t="s">
        <v>216</v>
      </c>
      <c r="AD30" t="s">
        <v>217</v>
      </c>
      <c r="AE30" t="s">
        <v>218</v>
      </c>
      <c r="AF30" t="s">
        <v>219</v>
      </c>
      <c r="AG30" t="s">
        <v>32</v>
      </c>
      <c r="AH30" t="s">
        <v>32</v>
      </c>
      <c r="AI30" t="s">
        <v>32</v>
      </c>
      <c r="AJ30" t="s">
        <v>305</v>
      </c>
      <c r="AK30" t="s">
        <v>221</v>
      </c>
      <c r="AL30" t="s">
        <v>222</v>
      </c>
      <c r="AM30" t="s">
        <v>223</v>
      </c>
      <c r="AN30" t="s">
        <v>294</v>
      </c>
      <c r="AO30" t="s">
        <v>295</v>
      </c>
      <c r="AP30" t="s">
        <v>225</v>
      </c>
      <c r="AQ30" t="s">
        <v>226</v>
      </c>
      <c r="AR30" t="s">
        <v>227</v>
      </c>
      <c r="AS30" t="s">
        <v>228</v>
      </c>
      <c r="AT30" t="s">
        <v>229</v>
      </c>
      <c r="AU30" t="s">
        <v>230</v>
      </c>
      <c r="AV30" t="s">
        <v>231</v>
      </c>
      <c r="AW30" t="s">
        <v>232</v>
      </c>
      <c r="AX30" t="s">
        <v>233</v>
      </c>
      <c r="AY30" t="s">
        <v>234</v>
      </c>
      <c r="AZ30" t="s">
        <v>235</v>
      </c>
      <c r="BA30" t="s">
        <v>236</v>
      </c>
      <c r="BB30" t="s">
        <v>237</v>
      </c>
      <c r="BC30" t="s">
        <v>238</v>
      </c>
      <c r="BD30" t="s">
        <v>239</v>
      </c>
      <c r="BE30" t="s">
        <v>240</v>
      </c>
      <c r="BF30" t="s">
        <v>241</v>
      </c>
      <c r="BG30" t="s">
        <v>306</v>
      </c>
      <c r="BH30" t="s">
        <v>307</v>
      </c>
      <c r="BI30" t="s">
        <v>244</v>
      </c>
      <c r="BJ30" t="s">
        <v>308</v>
      </c>
      <c r="BK30" t="s">
        <v>32</v>
      </c>
      <c r="BL30" t="s">
        <v>32</v>
      </c>
      <c r="BM30" t="s">
        <v>15</v>
      </c>
      <c r="BN30" t="s">
        <v>32</v>
      </c>
      <c r="BO30" t="s">
        <v>32</v>
      </c>
      <c r="BP30" t="s">
        <v>32</v>
      </c>
      <c r="BQ30" t="s">
        <v>32</v>
      </c>
      <c r="BR30" t="s">
        <v>15</v>
      </c>
      <c r="BS30" t="s">
        <v>246</v>
      </c>
    </row>
    <row r="31" spans="1:71" x14ac:dyDescent="0.25">
      <c r="A31">
        <v>103</v>
      </c>
      <c r="B31" t="s">
        <v>386</v>
      </c>
      <c r="C31" t="s">
        <v>266</v>
      </c>
      <c r="D31" t="s">
        <v>198</v>
      </c>
      <c r="E31" t="s">
        <v>387</v>
      </c>
      <c r="F31" t="s">
        <v>2</v>
      </c>
      <c r="G31" t="s">
        <v>200</v>
      </c>
      <c r="I31" t="s">
        <v>388</v>
      </c>
      <c r="K31" t="s">
        <v>202</v>
      </c>
      <c r="L31" t="s">
        <v>318</v>
      </c>
      <c r="M31" t="s">
        <v>319</v>
      </c>
      <c r="N31" t="s">
        <v>320</v>
      </c>
      <c r="O31" t="s">
        <v>304</v>
      </c>
      <c r="P31" t="s">
        <v>385</v>
      </c>
      <c r="Q31" t="s">
        <v>288</v>
      </c>
      <c r="R31" t="s">
        <v>289</v>
      </c>
      <c r="S31" t="s">
        <v>290</v>
      </c>
      <c r="T31" t="s">
        <v>207</v>
      </c>
      <c r="U31" t="s">
        <v>208</v>
      </c>
      <c r="V31" t="s">
        <v>209</v>
      </c>
      <c r="W31" t="s">
        <v>32</v>
      </c>
      <c r="X31" t="s">
        <v>32</v>
      </c>
      <c r="Y31" t="s">
        <v>32</v>
      </c>
      <c r="Z31" t="s">
        <v>305</v>
      </c>
      <c r="AA31" t="s">
        <v>214</v>
      </c>
      <c r="AB31" t="s">
        <v>215</v>
      </c>
      <c r="AC31" t="s">
        <v>216</v>
      </c>
      <c r="AD31" t="s">
        <v>217</v>
      </c>
      <c r="AE31" t="s">
        <v>218</v>
      </c>
      <c r="AF31" t="s">
        <v>219</v>
      </c>
      <c r="AG31" t="s">
        <v>32</v>
      </c>
      <c r="AH31" t="s">
        <v>32</v>
      </c>
      <c r="AI31" t="s">
        <v>32</v>
      </c>
      <c r="AJ31" t="s">
        <v>305</v>
      </c>
      <c r="AK31" t="s">
        <v>221</v>
      </c>
      <c r="AL31" t="s">
        <v>222</v>
      </c>
      <c r="AM31" t="s">
        <v>223</v>
      </c>
      <c r="AN31" t="s">
        <v>294</v>
      </c>
      <c r="AO31" t="s">
        <v>295</v>
      </c>
      <c r="AP31" t="s">
        <v>225</v>
      </c>
      <c r="AQ31" t="s">
        <v>226</v>
      </c>
      <c r="AR31" t="s">
        <v>227</v>
      </c>
      <c r="AS31" t="s">
        <v>228</v>
      </c>
      <c r="AT31" t="s">
        <v>229</v>
      </c>
      <c r="AU31" t="s">
        <v>230</v>
      </c>
      <c r="AV31" t="s">
        <v>231</v>
      </c>
      <c r="AW31" t="s">
        <v>232</v>
      </c>
      <c r="AX31" t="s">
        <v>233</v>
      </c>
      <c r="AY31" t="s">
        <v>234</v>
      </c>
      <c r="AZ31" t="s">
        <v>235</v>
      </c>
      <c r="BA31" t="s">
        <v>236</v>
      </c>
      <c r="BB31" t="s">
        <v>237</v>
      </c>
      <c r="BC31" t="s">
        <v>238</v>
      </c>
      <c r="BD31" t="s">
        <v>239</v>
      </c>
      <c r="BE31" t="s">
        <v>240</v>
      </c>
      <c r="BF31" t="s">
        <v>241</v>
      </c>
      <c r="BG31" t="s">
        <v>306</v>
      </c>
      <c r="BH31" t="s">
        <v>307</v>
      </c>
      <c r="BI31" t="s">
        <v>244</v>
      </c>
      <c r="BJ31" t="s">
        <v>308</v>
      </c>
      <c r="BK31" t="s">
        <v>32</v>
      </c>
      <c r="BL31" t="s">
        <v>32</v>
      </c>
      <c r="BM31" t="s">
        <v>15</v>
      </c>
      <c r="BN31" t="s">
        <v>32</v>
      </c>
      <c r="BO31" t="s">
        <v>32</v>
      </c>
      <c r="BP31" t="s">
        <v>32</v>
      </c>
      <c r="BQ31" t="s">
        <v>32</v>
      </c>
      <c r="BR31" t="s">
        <v>15</v>
      </c>
      <c r="BS31" t="s">
        <v>246</v>
      </c>
    </row>
    <row r="32" spans="1:71" x14ac:dyDescent="0.25">
      <c r="A32">
        <v>110</v>
      </c>
      <c r="B32" t="s">
        <v>352</v>
      </c>
      <c r="C32" t="s">
        <v>197</v>
      </c>
      <c r="D32" t="s">
        <v>198</v>
      </c>
      <c r="E32" t="s">
        <v>345</v>
      </c>
      <c r="F32" t="s">
        <v>2</v>
      </c>
      <c r="G32" t="s">
        <v>200</v>
      </c>
      <c r="I32" t="s">
        <v>353</v>
      </c>
      <c r="K32" t="s">
        <v>202</v>
      </c>
      <c r="L32" t="s">
        <v>330</v>
      </c>
      <c r="M32" t="s">
        <v>331</v>
      </c>
      <c r="N32" t="s">
        <v>205</v>
      </c>
      <c r="O32" t="s">
        <v>333</v>
      </c>
      <c r="P32" t="s">
        <v>206</v>
      </c>
      <c r="Q32" t="s">
        <v>288</v>
      </c>
      <c r="R32" t="s">
        <v>289</v>
      </c>
      <c r="S32" t="s">
        <v>290</v>
      </c>
      <c r="T32" t="s">
        <v>207</v>
      </c>
      <c r="U32" t="s">
        <v>208</v>
      </c>
      <c r="V32" t="s">
        <v>209</v>
      </c>
      <c r="W32" t="s">
        <v>32</v>
      </c>
      <c r="X32" t="s">
        <v>32</v>
      </c>
      <c r="Y32" t="s">
        <v>32</v>
      </c>
      <c r="Z32" t="s">
        <v>305</v>
      </c>
      <c r="AA32" t="s">
        <v>214</v>
      </c>
      <c r="AB32" t="s">
        <v>215</v>
      </c>
      <c r="AC32" t="s">
        <v>216</v>
      </c>
      <c r="AD32" t="s">
        <v>217</v>
      </c>
      <c r="AE32" t="s">
        <v>218</v>
      </c>
      <c r="AF32" t="s">
        <v>219</v>
      </c>
      <c r="AG32" t="s">
        <v>32</v>
      </c>
      <c r="AH32" t="s">
        <v>32</v>
      </c>
      <c r="AI32" t="s">
        <v>32</v>
      </c>
      <c r="AJ32" t="s">
        <v>220</v>
      </c>
      <c r="AK32" t="s">
        <v>221</v>
      </c>
      <c r="AL32" t="s">
        <v>222</v>
      </c>
      <c r="AM32" t="s">
        <v>223</v>
      </c>
      <c r="AN32" t="s">
        <v>224</v>
      </c>
      <c r="AO32" t="s">
        <v>32</v>
      </c>
      <c r="AP32" t="s">
        <v>225</v>
      </c>
      <c r="AQ32" t="s">
        <v>226</v>
      </c>
      <c r="AR32" t="s">
        <v>227</v>
      </c>
      <c r="AS32" t="s">
        <v>228</v>
      </c>
      <c r="AT32" t="s">
        <v>229</v>
      </c>
      <c r="AU32" t="s">
        <v>230</v>
      </c>
      <c r="AV32" t="s">
        <v>231</v>
      </c>
      <c r="AW32" t="s">
        <v>232</v>
      </c>
      <c r="AX32" t="s">
        <v>233</v>
      </c>
      <c r="AY32" t="s">
        <v>234</v>
      </c>
      <c r="AZ32" t="s">
        <v>235</v>
      </c>
      <c r="BA32" t="s">
        <v>236</v>
      </c>
      <c r="BB32" t="s">
        <v>237</v>
      </c>
      <c r="BC32" t="s">
        <v>238</v>
      </c>
      <c r="BD32" t="s">
        <v>239</v>
      </c>
      <c r="BE32" t="s">
        <v>240</v>
      </c>
      <c r="BF32" t="s">
        <v>241</v>
      </c>
      <c r="BG32" t="s">
        <v>306</v>
      </c>
      <c r="BH32" t="s">
        <v>307</v>
      </c>
      <c r="BI32" t="s">
        <v>244</v>
      </c>
      <c r="BJ32" t="s">
        <v>308</v>
      </c>
      <c r="BK32" t="s">
        <v>32</v>
      </c>
      <c r="BL32" t="s">
        <v>32</v>
      </c>
      <c r="BM32" t="s">
        <v>15</v>
      </c>
      <c r="BN32" t="s">
        <v>32</v>
      </c>
      <c r="BO32" t="s">
        <v>32</v>
      </c>
      <c r="BP32" t="s">
        <v>32</v>
      </c>
      <c r="BQ32" t="s">
        <v>32</v>
      </c>
      <c r="BR32" t="s">
        <v>15</v>
      </c>
      <c r="BS32" t="s">
        <v>246</v>
      </c>
    </row>
    <row r="33" spans="1:71" x14ac:dyDescent="0.25">
      <c r="A33">
        <v>111</v>
      </c>
      <c r="B33" t="s">
        <v>350</v>
      </c>
      <c r="C33" t="s">
        <v>248</v>
      </c>
      <c r="D33" t="s">
        <v>198</v>
      </c>
      <c r="E33" t="s">
        <v>345</v>
      </c>
      <c r="F33" t="s">
        <v>2</v>
      </c>
      <c r="G33" t="s">
        <v>200</v>
      </c>
      <c r="I33" t="s">
        <v>351</v>
      </c>
      <c r="K33" t="s">
        <v>202</v>
      </c>
      <c r="L33" t="s">
        <v>300</v>
      </c>
      <c r="M33" t="s">
        <v>301</v>
      </c>
      <c r="N33" t="s">
        <v>302</v>
      </c>
      <c r="O33" t="s">
        <v>333</v>
      </c>
      <c r="P33" t="s">
        <v>206</v>
      </c>
      <c r="Q33" t="s">
        <v>288</v>
      </c>
      <c r="R33" t="s">
        <v>289</v>
      </c>
      <c r="S33" t="s">
        <v>290</v>
      </c>
      <c r="T33" t="s">
        <v>207</v>
      </c>
      <c r="U33" t="s">
        <v>208</v>
      </c>
      <c r="V33" t="s">
        <v>209</v>
      </c>
      <c r="W33" t="s">
        <v>32</v>
      </c>
      <c r="X33" t="s">
        <v>32</v>
      </c>
      <c r="Y33" t="s">
        <v>32</v>
      </c>
      <c r="Z33" t="s">
        <v>305</v>
      </c>
      <c r="AA33" t="s">
        <v>214</v>
      </c>
      <c r="AB33" t="s">
        <v>215</v>
      </c>
      <c r="AC33" t="s">
        <v>216</v>
      </c>
      <c r="AD33" t="s">
        <v>217</v>
      </c>
      <c r="AE33" t="s">
        <v>218</v>
      </c>
      <c r="AF33" t="s">
        <v>219</v>
      </c>
      <c r="AG33" t="s">
        <v>32</v>
      </c>
      <c r="AH33" t="s">
        <v>32</v>
      </c>
      <c r="AI33" t="s">
        <v>32</v>
      </c>
      <c r="AJ33" t="s">
        <v>220</v>
      </c>
      <c r="AK33" t="s">
        <v>221</v>
      </c>
      <c r="AL33" t="s">
        <v>222</v>
      </c>
      <c r="AM33" t="s">
        <v>223</v>
      </c>
      <c r="AN33" t="s">
        <v>224</v>
      </c>
      <c r="AO33" t="s">
        <v>32</v>
      </c>
      <c r="AP33" t="s">
        <v>225</v>
      </c>
      <c r="AQ33" t="s">
        <v>226</v>
      </c>
      <c r="AR33" t="s">
        <v>227</v>
      </c>
      <c r="AS33" t="s">
        <v>228</v>
      </c>
      <c r="AT33" t="s">
        <v>229</v>
      </c>
      <c r="AU33" t="s">
        <v>230</v>
      </c>
      <c r="AV33" t="s">
        <v>231</v>
      </c>
      <c r="AW33" t="s">
        <v>232</v>
      </c>
      <c r="AX33" t="s">
        <v>233</v>
      </c>
      <c r="AY33" t="s">
        <v>234</v>
      </c>
      <c r="AZ33" t="s">
        <v>235</v>
      </c>
      <c r="BA33" t="s">
        <v>236</v>
      </c>
      <c r="BB33" t="s">
        <v>237</v>
      </c>
      <c r="BC33" t="s">
        <v>238</v>
      </c>
      <c r="BD33" t="s">
        <v>239</v>
      </c>
      <c r="BE33" t="s">
        <v>240</v>
      </c>
      <c r="BF33" t="s">
        <v>241</v>
      </c>
      <c r="BG33" t="s">
        <v>306</v>
      </c>
      <c r="BH33" t="s">
        <v>307</v>
      </c>
      <c r="BI33" t="s">
        <v>244</v>
      </c>
      <c r="BJ33" t="s">
        <v>308</v>
      </c>
      <c r="BK33" t="s">
        <v>32</v>
      </c>
      <c r="BL33" t="s">
        <v>32</v>
      </c>
      <c r="BM33" t="s">
        <v>15</v>
      </c>
      <c r="BN33" t="s">
        <v>32</v>
      </c>
      <c r="BO33" t="s">
        <v>32</v>
      </c>
      <c r="BP33" t="s">
        <v>32</v>
      </c>
      <c r="BQ33" t="s">
        <v>32</v>
      </c>
      <c r="BR33" t="s">
        <v>15</v>
      </c>
      <c r="BS33" t="s">
        <v>246</v>
      </c>
    </row>
    <row r="34" spans="1:71" x14ac:dyDescent="0.25">
      <c r="A34">
        <v>112</v>
      </c>
      <c r="B34" t="s">
        <v>348</v>
      </c>
      <c r="C34" t="s">
        <v>260</v>
      </c>
      <c r="D34" t="s">
        <v>198</v>
      </c>
      <c r="E34" t="s">
        <v>345</v>
      </c>
      <c r="F34" t="s">
        <v>2</v>
      </c>
      <c r="G34" t="s">
        <v>200</v>
      </c>
      <c r="I34" t="s">
        <v>349</v>
      </c>
      <c r="K34" t="s">
        <v>202</v>
      </c>
      <c r="L34" t="s">
        <v>323</v>
      </c>
      <c r="M34" t="s">
        <v>324</v>
      </c>
      <c r="N34" t="s">
        <v>325</v>
      </c>
      <c r="O34" t="s">
        <v>333</v>
      </c>
      <c r="P34" t="s">
        <v>206</v>
      </c>
      <c r="Q34" t="s">
        <v>288</v>
      </c>
      <c r="R34" t="s">
        <v>289</v>
      </c>
      <c r="S34" t="s">
        <v>290</v>
      </c>
      <c r="T34" t="s">
        <v>207</v>
      </c>
      <c r="U34" t="s">
        <v>208</v>
      </c>
      <c r="V34" t="s">
        <v>209</v>
      </c>
      <c r="W34" t="s">
        <v>32</v>
      </c>
      <c r="X34" t="s">
        <v>32</v>
      </c>
      <c r="Y34" t="s">
        <v>32</v>
      </c>
      <c r="Z34" t="s">
        <v>305</v>
      </c>
      <c r="AA34" t="s">
        <v>214</v>
      </c>
      <c r="AB34" t="s">
        <v>215</v>
      </c>
      <c r="AC34" t="s">
        <v>216</v>
      </c>
      <c r="AD34" t="s">
        <v>217</v>
      </c>
      <c r="AE34" t="s">
        <v>218</v>
      </c>
      <c r="AF34" t="s">
        <v>219</v>
      </c>
      <c r="AG34" t="s">
        <v>32</v>
      </c>
      <c r="AH34" t="s">
        <v>32</v>
      </c>
      <c r="AI34" t="s">
        <v>32</v>
      </c>
      <c r="AJ34" t="s">
        <v>220</v>
      </c>
      <c r="AK34" t="s">
        <v>221</v>
      </c>
      <c r="AL34" t="s">
        <v>222</v>
      </c>
      <c r="AM34" t="s">
        <v>223</v>
      </c>
      <c r="AN34" t="s">
        <v>224</v>
      </c>
      <c r="AO34" t="s">
        <v>32</v>
      </c>
      <c r="AP34" t="s">
        <v>225</v>
      </c>
      <c r="AQ34" t="s">
        <v>226</v>
      </c>
      <c r="AR34" t="s">
        <v>227</v>
      </c>
      <c r="AS34" t="s">
        <v>228</v>
      </c>
      <c r="AT34" t="s">
        <v>229</v>
      </c>
      <c r="AU34" t="s">
        <v>230</v>
      </c>
      <c r="AV34" t="s">
        <v>231</v>
      </c>
      <c r="AW34" t="s">
        <v>232</v>
      </c>
      <c r="AX34" t="s">
        <v>233</v>
      </c>
      <c r="AY34" t="s">
        <v>234</v>
      </c>
      <c r="AZ34" t="s">
        <v>235</v>
      </c>
      <c r="BA34" t="s">
        <v>236</v>
      </c>
      <c r="BB34" t="s">
        <v>237</v>
      </c>
      <c r="BC34" t="s">
        <v>238</v>
      </c>
      <c r="BD34" t="s">
        <v>239</v>
      </c>
      <c r="BE34" t="s">
        <v>240</v>
      </c>
      <c r="BF34" t="s">
        <v>241</v>
      </c>
      <c r="BG34" t="s">
        <v>306</v>
      </c>
      <c r="BH34" t="s">
        <v>307</v>
      </c>
      <c r="BI34" t="s">
        <v>244</v>
      </c>
      <c r="BJ34" t="s">
        <v>308</v>
      </c>
      <c r="BK34" t="s">
        <v>32</v>
      </c>
      <c r="BL34" t="s">
        <v>32</v>
      </c>
      <c r="BM34" t="s">
        <v>15</v>
      </c>
      <c r="BN34" t="s">
        <v>32</v>
      </c>
      <c r="BO34" t="s">
        <v>32</v>
      </c>
      <c r="BP34" t="s">
        <v>32</v>
      </c>
      <c r="BQ34" t="s">
        <v>32</v>
      </c>
      <c r="BR34" t="s">
        <v>15</v>
      </c>
      <c r="BS34" t="s">
        <v>246</v>
      </c>
    </row>
    <row r="35" spans="1:71" x14ac:dyDescent="0.25">
      <c r="A35">
        <v>113</v>
      </c>
      <c r="B35" t="s">
        <v>346</v>
      </c>
      <c r="C35" t="s">
        <v>266</v>
      </c>
      <c r="D35" t="s">
        <v>198</v>
      </c>
      <c r="E35" t="s">
        <v>345</v>
      </c>
      <c r="F35" t="s">
        <v>2</v>
      </c>
      <c r="G35" t="s">
        <v>200</v>
      </c>
      <c r="I35" t="s">
        <v>347</v>
      </c>
      <c r="K35" t="s">
        <v>202</v>
      </c>
      <c r="L35" t="s">
        <v>318</v>
      </c>
      <c r="M35" t="s">
        <v>319</v>
      </c>
      <c r="N35" t="s">
        <v>320</v>
      </c>
      <c r="O35" t="s">
        <v>333</v>
      </c>
      <c r="P35" t="s">
        <v>206</v>
      </c>
      <c r="Q35" t="s">
        <v>288</v>
      </c>
      <c r="R35" t="s">
        <v>289</v>
      </c>
      <c r="S35" t="s">
        <v>290</v>
      </c>
      <c r="T35" t="s">
        <v>207</v>
      </c>
      <c r="U35" t="s">
        <v>208</v>
      </c>
      <c r="V35" t="s">
        <v>209</v>
      </c>
      <c r="W35" t="s">
        <v>32</v>
      </c>
      <c r="X35" t="s">
        <v>32</v>
      </c>
      <c r="Y35" t="s">
        <v>32</v>
      </c>
      <c r="Z35" t="s">
        <v>305</v>
      </c>
      <c r="AA35" t="s">
        <v>214</v>
      </c>
      <c r="AB35" t="s">
        <v>215</v>
      </c>
      <c r="AC35" t="s">
        <v>216</v>
      </c>
      <c r="AD35" t="s">
        <v>217</v>
      </c>
      <c r="AE35" t="s">
        <v>218</v>
      </c>
      <c r="AF35" t="s">
        <v>219</v>
      </c>
      <c r="AG35" t="s">
        <v>32</v>
      </c>
      <c r="AH35" t="s">
        <v>32</v>
      </c>
      <c r="AI35" t="s">
        <v>32</v>
      </c>
      <c r="AJ35" t="s">
        <v>220</v>
      </c>
      <c r="AK35" t="s">
        <v>221</v>
      </c>
      <c r="AL35" t="s">
        <v>222</v>
      </c>
      <c r="AM35" t="s">
        <v>223</v>
      </c>
      <c r="AN35" t="s">
        <v>224</v>
      </c>
      <c r="AO35" t="s">
        <v>32</v>
      </c>
      <c r="AP35" t="s">
        <v>225</v>
      </c>
      <c r="AQ35" t="s">
        <v>226</v>
      </c>
      <c r="AR35" t="s">
        <v>227</v>
      </c>
      <c r="AS35" t="s">
        <v>228</v>
      </c>
      <c r="AT35" t="s">
        <v>229</v>
      </c>
      <c r="AU35" t="s">
        <v>230</v>
      </c>
      <c r="AV35" t="s">
        <v>231</v>
      </c>
      <c r="AW35" t="s">
        <v>232</v>
      </c>
      <c r="AX35" t="s">
        <v>233</v>
      </c>
      <c r="AY35" t="s">
        <v>234</v>
      </c>
      <c r="AZ35" t="s">
        <v>235</v>
      </c>
      <c r="BA35" t="s">
        <v>236</v>
      </c>
      <c r="BB35" t="s">
        <v>237</v>
      </c>
      <c r="BC35" t="s">
        <v>238</v>
      </c>
      <c r="BD35" t="s">
        <v>239</v>
      </c>
      <c r="BE35" t="s">
        <v>240</v>
      </c>
      <c r="BF35" t="s">
        <v>241</v>
      </c>
      <c r="BG35" t="s">
        <v>306</v>
      </c>
      <c r="BH35" t="s">
        <v>307</v>
      </c>
      <c r="BI35" t="s">
        <v>244</v>
      </c>
      <c r="BJ35" t="s">
        <v>308</v>
      </c>
      <c r="BK35" t="s">
        <v>32</v>
      </c>
      <c r="BL35" t="s">
        <v>32</v>
      </c>
      <c r="BM35" t="s">
        <v>15</v>
      </c>
      <c r="BN35" t="s">
        <v>32</v>
      </c>
      <c r="BO35" t="s">
        <v>32</v>
      </c>
      <c r="BP35" t="s">
        <v>32</v>
      </c>
      <c r="BQ35" t="s">
        <v>32</v>
      </c>
      <c r="BR35" t="s">
        <v>15</v>
      </c>
      <c r="BS35" t="s">
        <v>246</v>
      </c>
    </row>
    <row r="36" spans="1:71" x14ac:dyDescent="0.25">
      <c r="A36">
        <v>114</v>
      </c>
      <c r="B36" t="s">
        <v>271</v>
      </c>
      <c r="C36" t="s">
        <v>272</v>
      </c>
      <c r="D36" t="s">
        <v>198</v>
      </c>
      <c r="E36" t="s">
        <v>345</v>
      </c>
      <c r="F36" t="s">
        <v>2</v>
      </c>
      <c r="G36" t="s">
        <v>200</v>
      </c>
      <c r="I36" t="s">
        <v>273</v>
      </c>
      <c r="K36" t="s">
        <v>202</v>
      </c>
      <c r="L36" t="s">
        <v>274</v>
      </c>
      <c r="M36" t="s">
        <v>275</v>
      </c>
      <c r="N36" t="s">
        <v>276</v>
      </c>
      <c r="O36" t="s">
        <v>333</v>
      </c>
      <c r="P36" t="s">
        <v>206</v>
      </c>
      <c r="Q36" t="s">
        <v>288</v>
      </c>
      <c r="R36" t="s">
        <v>289</v>
      </c>
      <c r="S36" t="s">
        <v>290</v>
      </c>
      <c r="T36" t="s">
        <v>207</v>
      </c>
      <c r="U36" t="s">
        <v>208</v>
      </c>
      <c r="V36" t="s">
        <v>209</v>
      </c>
      <c r="W36" t="s">
        <v>32</v>
      </c>
      <c r="X36" t="s">
        <v>32</v>
      </c>
      <c r="Y36" t="s">
        <v>32</v>
      </c>
      <c r="Z36" t="s">
        <v>305</v>
      </c>
      <c r="AA36" t="s">
        <v>214</v>
      </c>
      <c r="AB36" t="s">
        <v>215</v>
      </c>
      <c r="AC36" t="s">
        <v>216</v>
      </c>
      <c r="AD36" t="s">
        <v>217</v>
      </c>
      <c r="AE36" t="s">
        <v>218</v>
      </c>
      <c r="AF36" t="s">
        <v>219</v>
      </c>
      <c r="AG36" t="s">
        <v>32</v>
      </c>
      <c r="AH36" t="s">
        <v>32</v>
      </c>
      <c r="AI36" t="s">
        <v>32</v>
      </c>
      <c r="AJ36" t="s">
        <v>220</v>
      </c>
      <c r="AK36" t="s">
        <v>221</v>
      </c>
      <c r="AL36" t="s">
        <v>222</v>
      </c>
      <c r="AM36" t="s">
        <v>223</v>
      </c>
      <c r="AN36" t="s">
        <v>224</v>
      </c>
      <c r="AO36" t="s">
        <v>32</v>
      </c>
      <c r="AP36" t="s">
        <v>225</v>
      </c>
      <c r="AQ36" t="s">
        <v>226</v>
      </c>
      <c r="AR36" t="s">
        <v>227</v>
      </c>
      <c r="AS36" t="s">
        <v>228</v>
      </c>
      <c r="AT36" t="s">
        <v>229</v>
      </c>
      <c r="AU36" t="s">
        <v>230</v>
      </c>
      <c r="AV36" t="s">
        <v>231</v>
      </c>
      <c r="AW36" t="s">
        <v>232</v>
      </c>
      <c r="AX36" t="s">
        <v>233</v>
      </c>
      <c r="AY36" t="s">
        <v>234</v>
      </c>
      <c r="AZ36" t="s">
        <v>235</v>
      </c>
      <c r="BA36" t="s">
        <v>236</v>
      </c>
      <c r="BB36" t="s">
        <v>237</v>
      </c>
      <c r="BC36" t="s">
        <v>238</v>
      </c>
      <c r="BD36" t="s">
        <v>239</v>
      </c>
      <c r="BE36" t="s">
        <v>240</v>
      </c>
      <c r="BF36" t="s">
        <v>241</v>
      </c>
      <c r="BG36" t="s">
        <v>306</v>
      </c>
      <c r="BH36" t="s">
        <v>307</v>
      </c>
      <c r="BI36" t="s">
        <v>244</v>
      </c>
      <c r="BJ36" t="s">
        <v>308</v>
      </c>
      <c r="BK36" t="s">
        <v>32</v>
      </c>
      <c r="BL36" t="s">
        <v>32</v>
      </c>
      <c r="BM36" t="s">
        <v>15</v>
      </c>
      <c r="BN36" t="s">
        <v>32</v>
      </c>
      <c r="BO36" t="s">
        <v>32</v>
      </c>
      <c r="BP36" t="s">
        <v>32</v>
      </c>
      <c r="BQ36" t="s">
        <v>32</v>
      </c>
      <c r="BR36" t="s">
        <v>15</v>
      </c>
      <c r="BS36" t="s">
        <v>246</v>
      </c>
    </row>
    <row r="37" spans="1:71" x14ac:dyDescent="0.25">
      <c r="A37">
        <v>115</v>
      </c>
      <c r="B37" t="s">
        <v>277</v>
      </c>
      <c r="C37" t="s">
        <v>272</v>
      </c>
      <c r="D37" t="s">
        <v>198</v>
      </c>
      <c r="E37" t="s">
        <v>345</v>
      </c>
      <c r="F37" t="s">
        <v>2</v>
      </c>
      <c r="G37" t="s">
        <v>200</v>
      </c>
      <c r="I37" t="s">
        <v>278</v>
      </c>
      <c r="K37" t="s">
        <v>202</v>
      </c>
      <c r="L37" t="s">
        <v>279</v>
      </c>
      <c r="M37" t="s">
        <v>280</v>
      </c>
      <c r="N37" t="s">
        <v>281</v>
      </c>
      <c r="O37" t="s">
        <v>333</v>
      </c>
      <c r="P37" t="s">
        <v>206</v>
      </c>
      <c r="Q37" t="s">
        <v>288</v>
      </c>
      <c r="R37" t="s">
        <v>289</v>
      </c>
      <c r="S37" t="s">
        <v>290</v>
      </c>
      <c r="T37" t="s">
        <v>207</v>
      </c>
      <c r="U37" t="s">
        <v>208</v>
      </c>
      <c r="V37" t="s">
        <v>209</v>
      </c>
      <c r="W37" t="s">
        <v>32</v>
      </c>
      <c r="X37" t="s">
        <v>32</v>
      </c>
      <c r="Y37" t="s">
        <v>32</v>
      </c>
      <c r="Z37" t="s">
        <v>305</v>
      </c>
      <c r="AA37" t="s">
        <v>214</v>
      </c>
      <c r="AB37" t="s">
        <v>215</v>
      </c>
      <c r="AC37" t="s">
        <v>216</v>
      </c>
      <c r="AD37" t="s">
        <v>217</v>
      </c>
      <c r="AE37" t="s">
        <v>218</v>
      </c>
      <c r="AF37" t="s">
        <v>219</v>
      </c>
      <c r="AG37" t="s">
        <v>32</v>
      </c>
      <c r="AH37" t="s">
        <v>32</v>
      </c>
      <c r="AI37" t="s">
        <v>32</v>
      </c>
      <c r="AJ37" t="s">
        <v>220</v>
      </c>
      <c r="AK37" t="s">
        <v>221</v>
      </c>
      <c r="AL37" t="s">
        <v>222</v>
      </c>
      <c r="AM37" t="s">
        <v>223</v>
      </c>
      <c r="AN37" t="s">
        <v>224</v>
      </c>
      <c r="AO37" t="s">
        <v>32</v>
      </c>
      <c r="AP37" t="s">
        <v>225</v>
      </c>
      <c r="AQ37" t="s">
        <v>226</v>
      </c>
      <c r="AR37" t="s">
        <v>227</v>
      </c>
      <c r="AS37" t="s">
        <v>228</v>
      </c>
      <c r="AT37" t="s">
        <v>229</v>
      </c>
      <c r="AU37" t="s">
        <v>230</v>
      </c>
      <c r="AV37" t="s">
        <v>231</v>
      </c>
      <c r="AW37" t="s">
        <v>232</v>
      </c>
      <c r="AX37" t="s">
        <v>233</v>
      </c>
      <c r="AY37" t="s">
        <v>234</v>
      </c>
      <c r="AZ37" t="s">
        <v>235</v>
      </c>
      <c r="BA37" t="s">
        <v>236</v>
      </c>
      <c r="BB37" t="s">
        <v>237</v>
      </c>
      <c r="BC37" t="s">
        <v>238</v>
      </c>
      <c r="BD37" t="s">
        <v>239</v>
      </c>
      <c r="BE37" t="s">
        <v>240</v>
      </c>
      <c r="BF37" t="s">
        <v>241</v>
      </c>
      <c r="BG37" t="s">
        <v>306</v>
      </c>
      <c r="BH37" t="s">
        <v>307</v>
      </c>
      <c r="BI37" t="s">
        <v>244</v>
      </c>
      <c r="BJ37" t="s">
        <v>308</v>
      </c>
      <c r="BK37" t="s">
        <v>32</v>
      </c>
      <c r="BL37" t="s">
        <v>32</v>
      </c>
      <c r="BM37" t="s">
        <v>15</v>
      </c>
      <c r="BN37" t="s">
        <v>32</v>
      </c>
      <c r="BO37" t="s">
        <v>32</v>
      </c>
      <c r="BP37" t="s">
        <v>32</v>
      </c>
      <c r="BQ37" t="s">
        <v>32</v>
      </c>
      <c r="BR37" t="s">
        <v>15</v>
      </c>
      <c r="BS37" t="s">
        <v>246</v>
      </c>
    </row>
    <row r="38" spans="1:71" x14ac:dyDescent="0.25">
      <c r="A38">
        <v>116</v>
      </c>
      <c r="B38" t="s">
        <v>343</v>
      </c>
      <c r="C38" t="s">
        <v>197</v>
      </c>
      <c r="D38" t="s">
        <v>198</v>
      </c>
      <c r="E38" t="s">
        <v>332</v>
      </c>
      <c r="F38" t="s">
        <v>2</v>
      </c>
      <c r="G38" t="s">
        <v>200</v>
      </c>
      <c r="I38" t="s">
        <v>344</v>
      </c>
      <c r="K38" t="s">
        <v>202</v>
      </c>
      <c r="L38" t="s">
        <v>330</v>
      </c>
      <c r="M38" t="s">
        <v>331</v>
      </c>
      <c r="N38" t="s">
        <v>205</v>
      </c>
      <c r="O38" t="s">
        <v>206</v>
      </c>
      <c r="P38" t="s">
        <v>333</v>
      </c>
      <c r="Q38" t="s">
        <v>288</v>
      </c>
      <c r="R38" t="s">
        <v>289</v>
      </c>
      <c r="S38" t="s">
        <v>290</v>
      </c>
      <c r="T38" t="s">
        <v>207</v>
      </c>
      <c r="U38" t="s">
        <v>208</v>
      </c>
      <c r="V38" t="s">
        <v>209</v>
      </c>
      <c r="W38" t="s">
        <v>32</v>
      </c>
      <c r="X38" t="s">
        <v>32</v>
      </c>
      <c r="Y38" t="s">
        <v>32</v>
      </c>
      <c r="Z38" t="s">
        <v>213</v>
      </c>
      <c r="AA38" t="s">
        <v>214</v>
      </c>
      <c r="AB38" t="s">
        <v>215</v>
      </c>
      <c r="AC38" t="s">
        <v>216</v>
      </c>
      <c r="AD38" t="s">
        <v>224</v>
      </c>
      <c r="AE38" t="s">
        <v>32</v>
      </c>
      <c r="AF38" t="s">
        <v>219</v>
      </c>
      <c r="AG38" t="s">
        <v>32</v>
      </c>
      <c r="AH38" t="s">
        <v>32</v>
      </c>
      <c r="AI38" t="s">
        <v>32</v>
      </c>
      <c r="AJ38" t="s">
        <v>305</v>
      </c>
      <c r="AK38" t="s">
        <v>221</v>
      </c>
      <c r="AL38" t="s">
        <v>222</v>
      </c>
      <c r="AM38" t="s">
        <v>223</v>
      </c>
      <c r="AN38" t="s">
        <v>294</v>
      </c>
      <c r="AO38" t="s">
        <v>295</v>
      </c>
      <c r="AP38" t="s">
        <v>225</v>
      </c>
      <c r="AQ38" t="s">
        <v>226</v>
      </c>
      <c r="AR38" t="s">
        <v>227</v>
      </c>
      <c r="AS38" t="s">
        <v>228</v>
      </c>
      <c r="AT38" t="s">
        <v>229</v>
      </c>
      <c r="AU38" t="s">
        <v>230</v>
      </c>
      <c r="AV38" t="s">
        <v>231</v>
      </c>
      <c r="AW38" t="s">
        <v>232</v>
      </c>
      <c r="AX38" t="s">
        <v>233</v>
      </c>
      <c r="AY38" t="s">
        <v>234</v>
      </c>
      <c r="AZ38" t="s">
        <v>235</v>
      </c>
      <c r="BA38" t="s">
        <v>236</v>
      </c>
      <c r="BB38" t="s">
        <v>237</v>
      </c>
      <c r="BC38" t="s">
        <v>238</v>
      </c>
      <c r="BD38" t="s">
        <v>239</v>
      </c>
      <c r="BE38" t="s">
        <v>240</v>
      </c>
      <c r="BF38" t="s">
        <v>241</v>
      </c>
      <c r="BG38" t="s">
        <v>306</v>
      </c>
      <c r="BH38" t="s">
        <v>307</v>
      </c>
      <c r="BI38" t="s">
        <v>244</v>
      </c>
      <c r="BJ38" t="s">
        <v>308</v>
      </c>
      <c r="BK38" t="s">
        <v>32</v>
      </c>
      <c r="BL38" t="s">
        <v>32</v>
      </c>
      <c r="BM38" t="s">
        <v>15</v>
      </c>
      <c r="BN38" t="s">
        <v>32</v>
      </c>
      <c r="BO38" t="s">
        <v>32</v>
      </c>
      <c r="BP38" t="s">
        <v>32</v>
      </c>
      <c r="BQ38" t="s">
        <v>32</v>
      </c>
      <c r="BR38" t="s">
        <v>15</v>
      </c>
      <c r="BS38" t="s">
        <v>246</v>
      </c>
    </row>
    <row r="39" spans="1:71" x14ac:dyDescent="0.25">
      <c r="A39">
        <v>117</v>
      </c>
      <c r="B39" t="s">
        <v>341</v>
      </c>
      <c r="C39" t="s">
        <v>248</v>
      </c>
      <c r="D39" t="s">
        <v>198</v>
      </c>
      <c r="E39" t="s">
        <v>332</v>
      </c>
      <c r="F39" t="s">
        <v>2</v>
      </c>
      <c r="G39" t="s">
        <v>200</v>
      </c>
      <c r="I39" t="s">
        <v>342</v>
      </c>
      <c r="K39" t="s">
        <v>202</v>
      </c>
      <c r="L39" t="s">
        <v>300</v>
      </c>
      <c r="M39" t="s">
        <v>301</v>
      </c>
      <c r="N39" t="s">
        <v>302</v>
      </c>
      <c r="O39" t="s">
        <v>206</v>
      </c>
      <c r="P39" t="s">
        <v>333</v>
      </c>
      <c r="Q39" t="s">
        <v>288</v>
      </c>
      <c r="R39" t="s">
        <v>289</v>
      </c>
      <c r="S39" t="s">
        <v>290</v>
      </c>
      <c r="T39" t="s">
        <v>207</v>
      </c>
      <c r="U39" t="s">
        <v>208</v>
      </c>
      <c r="V39" t="s">
        <v>209</v>
      </c>
      <c r="W39" t="s">
        <v>32</v>
      </c>
      <c r="X39" t="s">
        <v>32</v>
      </c>
      <c r="Y39" t="s">
        <v>32</v>
      </c>
      <c r="Z39" t="s">
        <v>213</v>
      </c>
      <c r="AA39" t="s">
        <v>214</v>
      </c>
      <c r="AB39" t="s">
        <v>215</v>
      </c>
      <c r="AC39" t="s">
        <v>216</v>
      </c>
      <c r="AD39" t="s">
        <v>224</v>
      </c>
      <c r="AE39" t="s">
        <v>32</v>
      </c>
      <c r="AF39" t="s">
        <v>219</v>
      </c>
      <c r="AG39" t="s">
        <v>32</v>
      </c>
      <c r="AH39" t="s">
        <v>32</v>
      </c>
      <c r="AI39" t="s">
        <v>32</v>
      </c>
      <c r="AJ39" t="s">
        <v>305</v>
      </c>
      <c r="AK39" t="s">
        <v>221</v>
      </c>
      <c r="AL39" t="s">
        <v>222</v>
      </c>
      <c r="AM39" t="s">
        <v>223</v>
      </c>
      <c r="AN39" t="s">
        <v>294</v>
      </c>
      <c r="AO39" t="s">
        <v>295</v>
      </c>
      <c r="AP39" t="s">
        <v>225</v>
      </c>
      <c r="AQ39" t="s">
        <v>226</v>
      </c>
      <c r="AR39" t="s">
        <v>227</v>
      </c>
      <c r="AS39" t="s">
        <v>228</v>
      </c>
      <c r="AT39" t="s">
        <v>229</v>
      </c>
      <c r="AU39" t="s">
        <v>230</v>
      </c>
      <c r="AV39" t="s">
        <v>231</v>
      </c>
      <c r="AW39" t="s">
        <v>232</v>
      </c>
      <c r="AX39" t="s">
        <v>233</v>
      </c>
      <c r="AY39" t="s">
        <v>234</v>
      </c>
      <c r="AZ39" t="s">
        <v>235</v>
      </c>
      <c r="BA39" t="s">
        <v>236</v>
      </c>
      <c r="BB39" t="s">
        <v>237</v>
      </c>
      <c r="BC39" t="s">
        <v>238</v>
      </c>
      <c r="BD39" t="s">
        <v>239</v>
      </c>
      <c r="BE39" t="s">
        <v>240</v>
      </c>
      <c r="BF39" t="s">
        <v>241</v>
      </c>
      <c r="BG39" t="s">
        <v>306</v>
      </c>
      <c r="BH39" t="s">
        <v>307</v>
      </c>
      <c r="BI39" t="s">
        <v>244</v>
      </c>
      <c r="BJ39" t="s">
        <v>308</v>
      </c>
      <c r="BK39" t="s">
        <v>32</v>
      </c>
      <c r="BL39" t="s">
        <v>32</v>
      </c>
      <c r="BM39" t="s">
        <v>15</v>
      </c>
      <c r="BN39" t="s">
        <v>32</v>
      </c>
      <c r="BO39" t="s">
        <v>32</v>
      </c>
      <c r="BP39" t="s">
        <v>32</v>
      </c>
      <c r="BQ39" t="s">
        <v>32</v>
      </c>
      <c r="BR39" t="s">
        <v>15</v>
      </c>
      <c r="BS39" t="s">
        <v>246</v>
      </c>
    </row>
    <row r="40" spans="1:71" x14ac:dyDescent="0.25">
      <c r="A40">
        <v>118</v>
      </c>
      <c r="B40" t="s">
        <v>339</v>
      </c>
      <c r="C40" t="s">
        <v>260</v>
      </c>
      <c r="D40" t="s">
        <v>198</v>
      </c>
      <c r="E40" t="s">
        <v>332</v>
      </c>
      <c r="F40" t="s">
        <v>2</v>
      </c>
      <c r="G40" t="s">
        <v>200</v>
      </c>
      <c r="I40" t="s">
        <v>340</v>
      </c>
      <c r="K40" t="s">
        <v>202</v>
      </c>
      <c r="L40" t="s">
        <v>323</v>
      </c>
      <c r="M40" t="s">
        <v>324</v>
      </c>
      <c r="N40" t="s">
        <v>325</v>
      </c>
      <c r="O40" t="s">
        <v>206</v>
      </c>
      <c r="P40" t="s">
        <v>333</v>
      </c>
      <c r="Q40" t="s">
        <v>288</v>
      </c>
      <c r="R40" t="s">
        <v>289</v>
      </c>
      <c r="S40" t="s">
        <v>290</v>
      </c>
      <c r="T40" t="s">
        <v>207</v>
      </c>
      <c r="U40" t="s">
        <v>208</v>
      </c>
      <c r="V40" t="s">
        <v>209</v>
      </c>
      <c r="W40" t="s">
        <v>32</v>
      </c>
      <c r="X40" t="s">
        <v>32</v>
      </c>
      <c r="Y40" t="s">
        <v>32</v>
      </c>
      <c r="Z40" t="s">
        <v>213</v>
      </c>
      <c r="AA40" t="s">
        <v>214</v>
      </c>
      <c r="AB40" t="s">
        <v>215</v>
      </c>
      <c r="AC40" t="s">
        <v>216</v>
      </c>
      <c r="AD40" t="s">
        <v>224</v>
      </c>
      <c r="AE40" t="s">
        <v>32</v>
      </c>
      <c r="AF40" t="s">
        <v>219</v>
      </c>
      <c r="AG40" t="s">
        <v>32</v>
      </c>
      <c r="AH40" t="s">
        <v>32</v>
      </c>
      <c r="AI40" t="s">
        <v>32</v>
      </c>
      <c r="AJ40" t="s">
        <v>305</v>
      </c>
      <c r="AK40" t="s">
        <v>221</v>
      </c>
      <c r="AL40" t="s">
        <v>222</v>
      </c>
      <c r="AM40" t="s">
        <v>223</v>
      </c>
      <c r="AN40" t="s">
        <v>294</v>
      </c>
      <c r="AO40" t="s">
        <v>295</v>
      </c>
      <c r="AP40" t="s">
        <v>225</v>
      </c>
      <c r="AQ40" t="s">
        <v>226</v>
      </c>
      <c r="AR40" t="s">
        <v>227</v>
      </c>
      <c r="AS40" t="s">
        <v>228</v>
      </c>
      <c r="AT40" t="s">
        <v>229</v>
      </c>
      <c r="AU40" t="s">
        <v>230</v>
      </c>
      <c r="AV40" t="s">
        <v>231</v>
      </c>
      <c r="AW40" t="s">
        <v>232</v>
      </c>
      <c r="AX40" t="s">
        <v>233</v>
      </c>
      <c r="AY40" t="s">
        <v>234</v>
      </c>
      <c r="AZ40" t="s">
        <v>235</v>
      </c>
      <c r="BA40" t="s">
        <v>236</v>
      </c>
      <c r="BB40" t="s">
        <v>237</v>
      </c>
      <c r="BC40" t="s">
        <v>238</v>
      </c>
      <c r="BD40" t="s">
        <v>239</v>
      </c>
      <c r="BE40" t="s">
        <v>240</v>
      </c>
      <c r="BF40" t="s">
        <v>241</v>
      </c>
      <c r="BG40" t="s">
        <v>306</v>
      </c>
      <c r="BH40" t="s">
        <v>307</v>
      </c>
      <c r="BI40" t="s">
        <v>244</v>
      </c>
      <c r="BJ40" t="s">
        <v>308</v>
      </c>
      <c r="BK40" t="s">
        <v>32</v>
      </c>
      <c r="BL40" t="s">
        <v>32</v>
      </c>
      <c r="BM40" t="s">
        <v>15</v>
      </c>
      <c r="BN40" t="s">
        <v>32</v>
      </c>
      <c r="BO40" t="s">
        <v>32</v>
      </c>
      <c r="BP40" t="s">
        <v>32</v>
      </c>
      <c r="BQ40" t="s">
        <v>32</v>
      </c>
      <c r="BR40" t="s">
        <v>15</v>
      </c>
      <c r="BS40" t="s">
        <v>246</v>
      </c>
    </row>
    <row r="41" spans="1:71" x14ac:dyDescent="0.25">
      <c r="A41">
        <v>119</v>
      </c>
      <c r="B41" t="s">
        <v>337</v>
      </c>
      <c r="C41" t="s">
        <v>266</v>
      </c>
      <c r="D41" t="s">
        <v>198</v>
      </c>
      <c r="E41" t="s">
        <v>332</v>
      </c>
      <c r="F41" t="s">
        <v>2</v>
      </c>
      <c r="G41" t="s">
        <v>200</v>
      </c>
      <c r="I41" t="s">
        <v>338</v>
      </c>
      <c r="K41" t="s">
        <v>202</v>
      </c>
      <c r="L41" t="s">
        <v>268</v>
      </c>
      <c r="M41" t="s">
        <v>269</v>
      </c>
      <c r="N41" t="s">
        <v>270</v>
      </c>
      <c r="O41" t="s">
        <v>206</v>
      </c>
      <c r="P41" t="s">
        <v>333</v>
      </c>
      <c r="Q41" t="s">
        <v>288</v>
      </c>
      <c r="R41" t="s">
        <v>289</v>
      </c>
      <c r="S41" t="s">
        <v>290</v>
      </c>
      <c r="T41" t="s">
        <v>207</v>
      </c>
      <c r="U41" t="s">
        <v>208</v>
      </c>
      <c r="V41" t="s">
        <v>209</v>
      </c>
      <c r="W41" t="s">
        <v>32</v>
      </c>
      <c r="X41" t="s">
        <v>32</v>
      </c>
      <c r="Y41" t="s">
        <v>32</v>
      </c>
      <c r="Z41" t="s">
        <v>213</v>
      </c>
      <c r="AA41" t="s">
        <v>214</v>
      </c>
      <c r="AB41" t="s">
        <v>215</v>
      </c>
      <c r="AC41" t="s">
        <v>216</v>
      </c>
      <c r="AD41" t="s">
        <v>224</v>
      </c>
      <c r="AE41" t="s">
        <v>32</v>
      </c>
      <c r="AF41" t="s">
        <v>219</v>
      </c>
      <c r="AG41" t="s">
        <v>32</v>
      </c>
      <c r="AH41" t="s">
        <v>32</v>
      </c>
      <c r="AI41" t="s">
        <v>32</v>
      </c>
      <c r="AJ41" t="s">
        <v>305</v>
      </c>
      <c r="AK41" t="s">
        <v>221</v>
      </c>
      <c r="AL41" t="s">
        <v>222</v>
      </c>
      <c r="AM41" t="s">
        <v>223</v>
      </c>
      <c r="AN41" t="s">
        <v>294</v>
      </c>
      <c r="AO41" t="s">
        <v>295</v>
      </c>
      <c r="AP41" t="s">
        <v>225</v>
      </c>
      <c r="AQ41" t="s">
        <v>226</v>
      </c>
      <c r="AR41" t="s">
        <v>227</v>
      </c>
      <c r="AS41" t="s">
        <v>228</v>
      </c>
      <c r="AT41" t="s">
        <v>229</v>
      </c>
      <c r="AU41" t="s">
        <v>230</v>
      </c>
      <c r="AV41" t="s">
        <v>231</v>
      </c>
      <c r="AW41" t="s">
        <v>232</v>
      </c>
      <c r="AX41" t="s">
        <v>233</v>
      </c>
      <c r="AY41" t="s">
        <v>234</v>
      </c>
      <c r="AZ41" t="s">
        <v>235</v>
      </c>
      <c r="BA41" t="s">
        <v>236</v>
      </c>
      <c r="BB41" t="s">
        <v>237</v>
      </c>
      <c r="BC41" t="s">
        <v>238</v>
      </c>
      <c r="BD41" t="s">
        <v>239</v>
      </c>
      <c r="BE41" t="s">
        <v>240</v>
      </c>
      <c r="BF41" t="s">
        <v>241</v>
      </c>
      <c r="BG41" t="s">
        <v>306</v>
      </c>
      <c r="BH41" t="s">
        <v>307</v>
      </c>
      <c r="BI41" t="s">
        <v>244</v>
      </c>
      <c r="BJ41" t="s">
        <v>308</v>
      </c>
      <c r="BK41" t="s">
        <v>32</v>
      </c>
      <c r="BL41" t="s">
        <v>32</v>
      </c>
      <c r="BM41" t="s">
        <v>15</v>
      </c>
      <c r="BN41" t="s">
        <v>32</v>
      </c>
      <c r="BO41" t="s">
        <v>32</v>
      </c>
      <c r="BP41" t="s">
        <v>32</v>
      </c>
      <c r="BQ41" t="s">
        <v>32</v>
      </c>
      <c r="BR41" t="s">
        <v>15</v>
      </c>
      <c r="BS41" t="s">
        <v>246</v>
      </c>
    </row>
    <row r="42" spans="1:71" x14ac:dyDescent="0.25">
      <c r="A42">
        <v>120</v>
      </c>
      <c r="B42" t="s">
        <v>335</v>
      </c>
      <c r="C42" t="s">
        <v>266</v>
      </c>
      <c r="D42" t="s">
        <v>198</v>
      </c>
      <c r="E42" t="s">
        <v>332</v>
      </c>
      <c r="F42" t="s">
        <v>2</v>
      </c>
      <c r="G42" t="s">
        <v>200</v>
      </c>
      <c r="I42" t="s">
        <v>336</v>
      </c>
      <c r="K42" t="s">
        <v>202</v>
      </c>
      <c r="L42" t="s">
        <v>318</v>
      </c>
      <c r="M42" t="s">
        <v>319</v>
      </c>
      <c r="N42" t="s">
        <v>320</v>
      </c>
      <c r="O42" t="s">
        <v>206</v>
      </c>
      <c r="P42" t="s">
        <v>333</v>
      </c>
      <c r="Q42" t="s">
        <v>288</v>
      </c>
      <c r="R42" t="s">
        <v>289</v>
      </c>
      <c r="S42" t="s">
        <v>290</v>
      </c>
      <c r="T42" t="s">
        <v>207</v>
      </c>
      <c r="U42" t="s">
        <v>208</v>
      </c>
      <c r="V42" t="s">
        <v>209</v>
      </c>
      <c r="W42" t="s">
        <v>32</v>
      </c>
      <c r="X42" t="s">
        <v>32</v>
      </c>
      <c r="Y42" t="s">
        <v>32</v>
      </c>
      <c r="Z42" t="s">
        <v>213</v>
      </c>
      <c r="AA42" t="s">
        <v>214</v>
      </c>
      <c r="AB42" t="s">
        <v>215</v>
      </c>
      <c r="AC42" t="s">
        <v>216</v>
      </c>
      <c r="AD42" t="s">
        <v>224</v>
      </c>
      <c r="AE42" t="s">
        <v>32</v>
      </c>
      <c r="AF42" t="s">
        <v>219</v>
      </c>
      <c r="AG42" t="s">
        <v>32</v>
      </c>
      <c r="AH42" t="s">
        <v>32</v>
      </c>
      <c r="AI42" t="s">
        <v>32</v>
      </c>
      <c r="AJ42" t="s">
        <v>305</v>
      </c>
      <c r="AK42" t="s">
        <v>221</v>
      </c>
      <c r="AL42" t="s">
        <v>222</v>
      </c>
      <c r="AM42" t="s">
        <v>223</v>
      </c>
      <c r="AN42" t="s">
        <v>294</v>
      </c>
      <c r="AO42" t="s">
        <v>295</v>
      </c>
      <c r="AP42" t="s">
        <v>225</v>
      </c>
      <c r="AQ42" t="s">
        <v>226</v>
      </c>
      <c r="AR42" t="s">
        <v>227</v>
      </c>
      <c r="AS42" t="s">
        <v>228</v>
      </c>
      <c r="AT42" t="s">
        <v>229</v>
      </c>
      <c r="AU42" t="s">
        <v>230</v>
      </c>
      <c r="AV42" t="s">
        <v>231</v>
      </c>
      <c r="AW42" t="s">
        <v>232</v>
      </c>
      <c r="AX42" t="s">
        <v>233</v>
      </c>
      <c r="AY42" t="s">
        <v>234</v>
      </c>
      <c r="AZ42" t="s">
        <v>235</v>
      </c>
      <c r="BA42" t="s">
        <v>236</v>
      </c>
      <c r="BB42" t="s">
        <v>237</v>
      </c>
      <c r="BC42" t="s">
        <v>238</v>
      </c>
      <c r="BD42" t="s">
        <v>239</v>
      </c>
      <c r="BE42" t="s">
        <v>240</v>
      </c>
      <c r="BF42" t="s">
        <v>241</v>
      </c>
      <c r="BG42" t="s">
        <v>306</v>
      </c>
      <c r="BH42" t="s">
        <v>307</v>
      </c>
      <c r="BI42" t="s">
        <v>244</v>
      </c>
      <c r="BJ42" t="s">
        <v>308</v>
      </c>
      <c r="BK42" t="s">
        <v>32</v>
      </c>
      <c r="BL42" t="s">
        <v>32</v>
      </c>
      <c r="BM42" t="s">
        <v>15</v>
      </c>
      <c r="BN42" t="s">
        <v>32</v>
      </c>
      <c r="BO42" t="s">
        <v>32</v>
      </c>
      <c r="BP42" t="s">
        <v>32</v>
      </c>
      <c r="BQ42" t="s">
        <v>32</v>
      </c>
      <c r="BR42" t="s">
        <v>15</v>
      </c>
      <c r="BS42" t="s">
        <v>246</v>
      </c>
    </row>
    <row r="43" spans="1:71" x14ac:dyDescent="0.25">
      <c r="A43">
        <v>121</v>
      </c>
      <c r="B43" t="s">
        <v>271</v>
      </c>
      <c r="C43" t="s">
        <v>272</v>
      </c>
      <c r="D43" t="s">
        <v>198</v>
      </c>
      <c r="E43" t="s">
        <v>332</v>
      </c>
      <c r="F43" t="s">
        <v>2</v>
      </c>
      <c r="G43" t="s">
        <v>200</v>
      </c>
      <c r="I43" t="s">
        <v>334</v>
      </c>
      <c r="K43" t="s">
        <v>202</v>
      </c>
      <c r="L43" t="s">
        <v>274</v>
      </c>
      <c r="M43" t="s">
        <v>275</v>
      </c>
      <c r="N43" t="s">
        <v>276</v>
      </c>
      <c r="O43" t="s">
        <v>206</v>
      </c>
      <c r="P43" t="s">
        <v>333</v>
      </c>
      <c r="Q43" t="s">
        <v>288</v>
      </c>
      <c r="R43" t="s">
        <v>289</v>
      </c>
      <c r="S43" t="s">
        <v>290</v>
      </c>
      <c r="T43" t="s">
        <v>207</v>
      </c>
      <c r="U43" t="s">
        <v>208</v>
      </c>
      <c r="V43" t="s">
        <v>209</v>
      </c>
      <c r="W43" t="s">
        <v>32</v>
      </c>
      <c r="X43" t="s">
        <v>32</v>
      </c>
      <c r="Y43" t="s">
        <v>32</v>
      </c>
      <c r="Z43" t="s">
        <v>213</v>
      </c>
      <c r="AA43" t="s">
        <v>214</v>
      </c>
      <c r="AB43" t="s">
        <v>215</v>
      </c>
      <c r="AC43" t="s">
        <v>216</v>
      </c>
      <c r="AD43" t="s">
        <v>224</v>
      </c>
      <c r="AE43" t="s">
        <v>32</v>
      </c>
      <c r="AF43" t="s">
        <v>219</v>
      </c>
      <c r="AG43" t="s">
        <v>32</v>
      </c>
      <c r="AH43" t="s">
        <v>32</v>
      </c>
      <c r="AI43" t="s">
        <v>32</v>
      </c>
      <c r="AJ43" t="s">
        <v>305</v>
      </c>
      <c r="AK43" t="s">
        <v>221</v>
      </c>
      <c r="AL43" t="s">
        <v>222</v>
      </c>
      <c r="AM43" t="s">
        <v>223</v>
      </c>
      <c r="AN43" t="s">
        <v>294</v>
      </c>
      <c r="AO43" t="s">
        <v>295</v>
      </c>
      <c r="AP43" t="s">
        <v>225</v>
      </c>
      <c r="AQ43" t="s">
        <v>226</v>
      </c>
      <c r="AR43" t="s">
        <v>227</v>
      </c>
      <c r="AS43" t="s">
        <v>228</v>
      </c>
      <c r="AT43" t="s">
        <v>229</v>
      </c>
      <c r="AU43" t="s">
        <v>230</v>
      </c>
      <c r="AV43" t="s">
        <v>231</v>
      </c>
      <c r="AW43" t="s">
        <v>232</v>
      </c>
      <c r="AX43" t="s">
        <v>233</v>
      </c>
      <c r="AY43" t="s">
        <v>234</v>
      </c>
      <c r="AZ43" t="s">
        <v>235</v>
      </c>
      <c r="BA43" t="s">
        <v>236</v>
      </c>
      <c r="BB43" t="s">
        <v>237</v>
      </c>
      <c r="BC43" t="s">
        <v>238</v>
      </c>
      <c r="BD43" t="s">
        <v>239</v>
      </c>
      <c r="BE43" t="s">
        <v>240</v>
      </c>
      <c r="BF43" t="s">
        <v>241</v>
      </c>
      <c r="BG43" t="s">
        <v>306</v>
      </c>
      <c r="BH43" t="s">
        <v>307</v>
      </c>
      <c r="BI43" t="s">
        <v>244</v>
      </c>
      <c r="BJ43" t="s">
        <v>308</v>
      </c>
      <c r="BK43" t="s">
        <v>32</v>
      </c>
      <c r="BL43" t="s">
        <v>32</v>
      </c>
      <c r="BM43" t="s">
        <v>15</v>
      </c>
      <c r="BN43" t="s">
        <v>32</v>
      </c>
      <c r="BO43" t="s">
        <v>32</v>
      </c>
      <c r="BP43" t="s">
        <v>32</v>
      </c>
      <c r="BQ43" t="s">
        <v>32</v>
      </c>
      <c r="BR43" t="s">
        <v>15</v>
      </c>
      <c r="BS43" t="s">
        <v>246</v>
      </c>
    </row>
    <row r="44" spans="1:71" x14ac:dyDescent="0.25">
      <c r="A44">
        <v>122</v>
      </c>
      <c r="B44" t="s">
        <v>277</v>
      </c>
      <c r="C44" t="s">
        <v>272</v>
      </c>
      <c r="D44" t="s">
        <v>198</v>
      </c>
      <c r="E44" t="s">
        <v>332</v>
      </c>
      <c r="F44" t="s">
        <v>2</v>
      </c>
      <c r="G44" t="s">
        <v>200</v>
      </c>
      <c r="I44" t="s">
        <v>278</v>
      </c>
      <c r="K44" t="s">
        <v>202</v>
      </c>
      <c r="L44" t="s">
        <v>279</v>
      </c>
      <c r="M44" t="s">
        <v>280</v>
      </c>
      <c r="N44" t="s">
        <v>281</v>
      </c>
      <c r="O44" t="s">
        <v>206</v>
      </c>
      <c r="P44" t="s">
        <v>333</v>
      </c>
      <c r="Q44" t="s">
        <v>288</v>
      </c>
      <c r="R44" t="s">
        <v>289</v>
      </c>
      <c r="S44" t="s">
        <v>290</v>
      </c>
      <c r="T44" t="s">
        <v>207</v>
      </c>
      <c r="U44" t="s">
        <v>208</v>
      </c>
      <c r="V44" t="s">
        <v>209</v>
      </c>
      <c r="W44" t="s">
        <v>32</v>
      </c>
      <c r="X44" t="s">
        <v>32</v>
      </c>
      <c r="Y44" t="s">
        <v>32</v>
      </c>
      <c r="Z44" t="s">
        <v>213</v>
      </c>
      <c r="AA44" t="s">
        <v>214</v>
      </c>
      <c r="AB44" t="s">
        <v>215</v>
      </c>
      <c r="AC44" t="s">
        <v>216</v>
      </c>
      <c r="AD44" t="s">
        <v>224</v>
      </c>
      <c r="AE44" t="s">
        <v>32</v>
      </c>
      <c r="AF44" t="s">
        <v>219</v>
      </c>
      <c r="AG44" t="s">
        <v>32</v>
      </c>
      <c r="AH44" t="s">
        <v>32</v>
      </c>
      <c r="AI44" t="s">
        <v>32</v>
      </c>
      <c r="AJ44" t="s">
        <v>305</v>
      </c>
      <c r="AK44" t="s">
        <v>221</v>
      </c>
      <c r="AL44" t="s">
        <v>222</v>
      </c>
      <c r="AM44" t="s">
        <v>223</v>
      </c>
      <c r="AN44" t="s">
        <v>294</v>
      </c>
      <c r="AO44" t="s">
        <v>295</v>
      </c>
      <c r="AP44" t="s">
        <v>225</v>
      </c>
      <c r="AQ44" t="s">
        <v>226</v>
      </c>
      <c r="AR44" t="s">
        <v>227</v>
      </c>
      <c r="AS44" t="s">
        <v>228</v>
      </c>
      <c r="AT44" t="s">
        <v>229</v>
      </c>
      <c r="AU44" t="s">
        <v>230</v>
      </c>
      <c r="AV44" t="s">
        <v>231</v>
      </c>
      <c r="AW44" t="s">
        <v>232</v>
      </c>
      <c r="AX44" t="s">
        <v>233</v>
      </c>
      <c r="AY44" t="s">
        <v>234</v>
      </c>
      <c r="AZ44" t="s">
        <v>235</v>
      </c>
      <c r="BA44" t="s">
        <v>236</v>
      </c>
      <c r="BB44" t="s">
        <v>237</v>
      </c>
      <c r="BC44" t="s">
        <v>238</v>
      </c>
      <c r="BD44" t="s">
        <v>239</v>
      </c>
      <c r="BE44" t="s">
        <v>240</v>
      </c>
      <c r="BF44" t="s">
        <v>241</v>
      </c>
      <c r="BG44" t="s">
        <v>306</v>
      </c>
      <c r="BH44" t="s">
        <v>307</v>
      </c>
      <c r="BI44" t="s">
        <v>244</v>
      </c>
      <c r="BJ44" t="s">
        <v>308</v>
      </c>
      <c r="BK44" t="s">
        <v>32</v>
      </c>
      <c r="BL44" t="s">
        <v>32</v>
      </c>
      <c r="BM44" t="s">
        <v>15</v>
      </c>
      <c r="BN44" t="s">
        <v>32</v>
      </c>
      <c r="BO44" t="s">
        <v>32</v>
      </c>
      <c r="BP44" t="s">
        <v>32</v>
      </c>
      <c r="BQ44" t="s">
        <v>32</v>
      </c>
      <c r="BR44" t="s">
        <v>15</v>
      </c>
      <c r="BS44" t="s">
        <v>246</v>
      </c>
    </row>
    <row r="45" spans="1:71" x14ac:dyDescent="0.25">
      <c r="A45">
        <v>184</v>
      </c>
      <c r="B45" t="s">
        <v>196</v>
      </c>
      <c r="C45" t="s">
        <v>197</v>
      </c>
      <c r="D45" t="s">
        <v>198</v>
      </c>
      <c r="E45" t="s">
        <v>395</v>
      </c>
      <c r="F45" t="s">
        <v>2</v>
      </c>
      <c r="G45" t="s">
        <v>200</v>
      </c>
      <c r="I45" t="s">
        <v>201</v>
      </c>
      <c r="K45" t="s">
        <v>202</v>
      </c>
      <c r="L45" t="s">
        <v>203</v>
      </c>
      <c r="M45" t="s">
        <v>204</v>
      </c>
      <c r="N45" t="s">
        <v>205</v>
      </c>
      <c r="O45" t="s">
        <v>23</v>
      </c>
      <c r="P45" t="s">
        <v>385</v>
      </c>
      <c r="Q45" t="s">
        <v>15</v>
      </c>
      <c r="R45" t="s">
        <v>32</v>
      </c>
      <c r="S45" t="s">
        <v>32</v>
      </c>
      <c r="T45" t="s">
        <v>207</v>
      </c>
      <c r="U45" t="s">
        <v>208</v>
      </c>
      <c r="V45" t="s">
        <v>209</v>
      </c>
      <c r="W45" t="s">
        <v>210</v>
      </c>
      <c r="X45" t="s">
        <v>211</v>
      </c>
      <c r="Y45" t="s">
        <v>212</v>
      </c>
      <c r="Z45" t="s">
        <v>213</v>
      </c>
      <c r="AA45" t="s">
        <v>214</v>
      </c>
      <c r="AB45" t="s">
        <v>215</v>
      </c>
      <c r="AC45" t="s">
        <v>216</v>
      </c>
      <c r="AD45" t="s">
        <v>217</v>
      </c>
      <c r="AE45" t="s">
        <v>218</v>
      </c>
      <c r="AF45" t="s">
        <v>219</v>
      </c>
      <c r="AG45" t="s">
        <v>32</v>
      </c>
      <c r="AH45" t="s">
        <v>32</v>
      </c>
      <c r="AI45" t="s">
        <v>32</v>
      </c>
      <c r="AJ45" t="s">
        <v>305</v>
      </c>
      <c r="AK45" t="s">
        <v>221</v>
      </c>
      <c r="AL45" t="s">
        <v>222</v>
      </c>
      <c r="AM45" t="s">
        <v>223</v>
      </c>
      <c r="AN45" t="s">
        <v>294</v>
      </c>
      <c r="AO45" t="s">
        <v>295</v>
      </c>
      <c r="AP45" t="s">
        <v>225</v>
      </c>
      <c r="AQ45" t="s">
        <v>226</v>
      </c>
      <c r="AR45" t="s">
        <v>227</v>
      </c>
      <c r="AS45" t="s">
        <v>228</v>
      </c>
      <c r="AT45" t="s">
        <v>229</v>
      </c>
      <c r="AU45" t="s">
        <v>230</v>
      </c>
      <c r="AV45" t="s">
        <v>231</v>
      </c>
      <c r="AW45" t="s">
        <v>232</v>
      </c>
      <c r="AX45" t="s">
        <v>233</v>
      </c>
      <c r="AY45" t="s">
        <v>234</v>
      </c>
      <c r="AZ45" t="s">
        <v>235</v>
      </c>
      <c r="BA45" t="s">
        <v>236</v>
      </c>
      <c r="BB45" t="s">
        <v>237</v>
      </c>
      <c r="BC45" t="s">
        <v>238</v>
      </c>
      <c r="BD45" t="s">
        <v>239</v>
      </c>
      <c r="BE45" t="s">
        <v>240</v>
      </c>
      <c r="BF45" t="s">
        <v>241</v>
      </c>
      <c r="BG45" t="s">
        <v>242</v>
      </c>
      <c r="BH45" t="s">
        <v>243</v>
      </c>
      <c r="BI45" t="s">
        <v>244</v>
      </c>
      <c r="BJ45" t="s">
        <v>245</v>
      </c>
      <c r="BK45" t="s">
        <v>32</v>
      </c>
      <c r="BL45" t="s">
        <v>32</v>
      </c>
      <c r="BM45" t="s">
        <v>15</v>
      </c>
      <c r="BN45" t="s">
        <v>32</v>
      </c>
      <c r="BO45" t="s">
        <v>32</v>
      </c>
      <c r="BP45" t="s">
        <v>32</v>
      </c>
      <c r="BQ45" t="s">
        <v>32</v>
      </c>
      <c r="BR45" t="s">
        <v>15</v>
      </c>
      <c r="BS45" t="s">
        <v>246</v>
      </c>
    </row>
    <row r="46" spans="1:71" x14ac:dyDescent="0.25">
      <c r="A46">
        <v>185</v>
      </c>
      <c r="B46" t="s">
        <v>408</v>
      </c>
      <c r="C46" t="s">
        <v>254</v>
      </c>
      <c r="D46" t="s">
        <v>198</v>
      </c>
      <c r="E46" t="s">
        <v>395</v>
      </c>
      <c r="F46" t="s">
        <v>2</v>
      </c>
      <c r="G46" t="s">
        <v>200</v>
      </c>
      <c r="I46" t="s">
        <v>409</v>
      </c>
      <c r="K46" t="s">
        <v>202</v>
      </c>
      <c r="L46" t="s">
        <v>256</v>
      </c>
      <c r="M46" t="s">
        <v>257</v>
      </c>
      <c r="N46" t="s">
        <v>258</v>
      </c>
      <c r="O46" t="s">
        <v>23</v>
      </c>
      <c r="P46" t="s">
        <v>385</v>
      </c>
      <c r="Q46" t="s">
        <v>15</v>
      </c>
      <c r="R46" t="s">
        <v>32</v>
      </c>
      <c r="S46" t="s">
        <v>32</v>
      </c>
      <c r="T46" t="s">
        <v>207</v>
      </c>
      <c r="U46" t="s">
        <v>208</v>
      </c>
      <c r="V46" t="s">
        <v>209</v>
      </c>
      <c r="W46" t="s">
        <v>210</v>
      </c>
      <c r="X46" t="s">
        <v>211</v>
      </c>
      <c r="Y46" t="s">
        <v>212</v>
      </c>
      <c r="Z46" t="s">
        <v>213</v>
      </c>
      <c r="AA46" t="s">
        <v>214</v>
      </c>
      <c r="AB46" t="s">
        <v>215</v>
      </c>
      <c r="AC46" t="s">
        <v>216</v>
      </c>
      <c r="AD46" t="s">
        <v>217</v>
      </c>
      <c r="AE46" t="s">
        <v>218</v>
      </c>
      <c r="AF46" t="s">
        <v>219</v>
      </c>
      <c r="AG46" t="s">
        <v>32</v>
      </c>
      <c r="AH46" t="s">
        <v>32</v>
      </c>
      <c r="AI46" t="s">
        <v>32</v>
      </c>
      <c r="AJ46" t="s">
        <v>305</v>
      </c>
      <c r="AK46" t="s">
        <v>221</v>
      </c>
      <c r="AL46" t="s">
        <v>222</v>
      </c>
      <c r="AM46" t="s">
        <v>223</v>
      </c>
      <c r="AN46" t="s">
        <v>294</v>
      </c>
      <c r="AO46" t="s">
        <v>295</v>
      </c>
      <c r="AP46" t="s">
        <v>225</v>
      </c>
      <c r="AQ46" t="s">
        <v>226</v>
      </c>
      <c r="AR46" t="s">
        <v>227</v>
      </c>
      <c r="AS46" t="s">
        <v>228</v>
      </c>
      <c r="AT46" t="s">
        <v>229</v>
      </c>
      <c r="AU46" t="s">
        <v>230</v>
      </c>
      <c r="AV46" t="s">
        <v>231</v>
      </c>
      <c r="AW46" t="s">
        <v>232</v>
      </c>
      <c r="AX46" t="s">
        <v>233</v>
      </c>
      <c r="AY46" t="s">
        <v>234</v>
      </c>
      <c r="AZ46" t="s">
        <v>235</v>
      </c>
      <c r="BA46" t="s">
        <v>236</v>
      </c>
      <c r="BB46" t="s">
        <v>237</v>
      </c>
      <c r="BC46" t="s">
        <v>238</v>
      </c>
      <c r="BD46" t="s">
        <v>239</v>
      </c>
      <c r="BE46" t="s">
        <v>240</v>
      </c>
      <c r="BF46" t="s">
        <v>241</v>
      </c>
      <c r="BG46" t="s">
        <v>242</v>
      </c>
      <c r="BH46" t="s">
        <v>243</v>
      </c>
      <c r="BI46" t="s">
        <v>244</v>
      </c>
      <c r="BJ46" t="s">
        <v>245</v>
      </c>
      <c r="BK46" t="s">
        <v>32</v>
      </c>
      <c r="BL46" t="s">
        <v>32</v>
      </c>
      <c r="BM46" t="s">
        <v>15</v>
      </c>
      <c r="BN46" t="s">
        <v>32</v>
      </c>
      <c r="BO46" t="s">
        <v>32</v>
      </c>
      <c r="BP46" t="s">
        <v>32</v>
      </c>
      <c r="BQ46" t="s">
        <v>32</v>
      </c>
      <c r="BR46" t="s">
        <v>15</v>
      </c>
      <c r="BS46" t="s">
        <v>246</v>
      </c>
    </row>
    <row r="47" spans="1:71" x14ac:dyDescent="0.25">
      <c r="A47">
        <v>186</v>
      </c>
      <c r="B47" t="s">
        <v>406</v>
      </c>
      <c r="C47" t="s">
        <v>266</v>
      </c>
      <c r="D47" t="s">
        <v>198</v>
      </c>
      <c r="E47" t="s">
        <v>395</v>
      </c>
      <c r="F47" t="s">
        <v>2</v>
      </c>
      <c r="G47" t="s">
        <v>200</v>
      </c>
      <c r="I47" t="s">
        <v>407</v>
      </c>
      <c r="K47" t="s">
        <v>202</v>
      </c>
      <c r="L47" t="s">
        <v>268</v>
      </c>
      <c r="M47" t="s">
        <v>269</v>
      </c>
      <c r="N47" t="s">
        <v>270</v>
      </c>
      <c r="O47" t="s">
        <v>23</v>
      </c>
      <c r="P47" t="s">
        <v>385</v>
      </c>
      <c r="Q47" t="s">
        <v>15</v>
      </c>
      <c r="R47" t="s">
        <v>32</v>
      </c>
      <c r="S47" t="s">
        <v>32</v>
      </c>
      <c r="T47" t="s">
        <v>207</v>
      </c>
      <c r="U47" t="s">
        <v>208</v>
      </c>
      <c r="V47" t="s">
        <v>209</v>
      </c>
      <c r="W47" t="s">
        <v>210</v>
      </c>
      <c r="X47" t="s">
        <v>211</v>
      </c>
      <c r="Y47" t="s">
        <v>212</v>
      </c>
      <c r="Z47" t="s">
        <v>213</v>
      </c>
      <c r="AA47" t="s">
        <v>214</v>
      </c>
      <c r="AB47" t="s">
        <v>215</v>
      </c>
      <c r="AC47" t="s">
        <v>216</v>
      </c>
      <c r="AD47" t="s">
        <v>217</v>
      </c>
      <c r="AE47" t="s">
        <v>218</v>
      </c>
      <c r="AF47" t="s">
        <v>219</v>
      </c>
      <c r="AG47" t="s">
        <v>32</v>
      </c>
      <c r="AH47" t="s">
        <v>32</v>
      </c>
      <c r="AI47" t="s">
        <v>32</v>
      </c>
      <c r="AJ47" t="s">
        <v>305</v>
      </c>
      <c r="AK47" t="s">
        <v>221</v>
      </c>
      <c r="AL47" t="s">
        <v>222</v>
      </c>
      <c r="AM47" t="s">
        <v>223</v>
      </c>
      <c r="AN47" t="s">
        <v>294</v>
      </c>
      <c r="AO47" t="s">
        <v>295</v>
      </c>
      <c r="AP47" t="s">
        <v>225</v>
      </c>
      <c r="AQ47" t="s">
        <v>226</v>
      </c>
      <c r="AR47" t="s">
        <v>227</v>
      </c>
      <c r="AS47" t="s">
        <v>228</v>
      </c>
      <c r="AT47" t="s">
        <v>229</v>
      </c>
      <c r="AU47" t="s">
        <v>230</v>
      </c>
      <c r="AV47" t="s">
        <v>231</v>
      </c>
      <c r="AW47" t="s">
        <v>232</v>
      </c>
      <c r="AX47" t="s">
        <v>233</v>
      </c>
      <c r="AY47" t="s">
        <v>234</v>
      </c>
      <c r="AZ47" t="s">
        <v>235</v>
      </c>
      <c r="BA47" t="s">
        <v>236</v>
      </c>
      <c r="BB47" t="s">
        <v>237</v>
      </c>
      <c r="BC47" t="s">
        <v>238</v>
      </c>
      <c r="BD47" t="s">
        <v>239</v>
      </c>
      <c r="BE47" t="s">
        <v>240</v>
      </c>
      <c r="BF47" t="s">
        <v>241</v>
      </c>
      <c r="BG47" t="s">
        <v>242</v>
      </c>
      <c r="BH47" t="s">
        <v>243</v>
      </c>
      <c r="BI47" t="s">
        <v>244</v>
      </c>
      <c r="BJ47" t="s">
        <v>245</v>
      </c>
      <c r="BK47" t="s">
        <v>32</v>
      </c>
      <c r="BL47" t="s">
        <v>32</v>
      </c>
      <c r="BM47" t="s">
        <v>15</v>
      </c>
      <c r="BN47" t="s">
        <v>32</v>
      </c>
      <c r="BO47" t="s">
        <v>32</v>
      </c>
      <c r="BP47" t="s">
        <v>32</v>
      </c>
      <c r="BQ47" t="s">
        <v>32</v>
      </c>
      <c r="BR47" t="s">
        <v>15</v>
      </c>
      <c r="BS47" t="s">
        <v>246</v>
      </c>
    </row>
    <row r="48" spans="1:71" x14ac:dyDescent="0.25">
      <c r="A48">
        <v>187</v>
      </c>
      <c r="B48" t="s">
        <v>271</v>
      </c>
      <c r="C48" t="s">
        <v>272</v>
      </c>
      <c r="D48" t="s">
        <v>198</v>
      </c>
      <c r="E48" t="s">
        <v>395</v>
      </c>
      <c r="F48" t="s">
        <v>2</v>
      </c>
      <c r="G48" t="s">
        <v>200</v>
      </c>
      <c r="I48" t="s">
        <v>405</v>
      </c>
      <c r="K48" t="s">
        <v>202</v>
      </c>
      <c r="L48" t="s">
        <v>274</v>
      </c>
      <c r="M48" t="s">
        <v>275</v>
      </c>
      <c r="N48" t="s">
        <v>276</v>
      </c>
      <c r="O48" t="s">
        <v>23</v>
      </c>
      <c r="P48" t="s">
        <v>385</v>
      </c>
      <c r="Q48" t="s">
        <v>15</v>
      </c>
      <c r="R48" t="s">
        <v>32</v>
      </c>
      <c r="S48" t="s">
        <v>32</v>
      </c>
      <c r="T48" t="s">
        <v>207</v>
      </c>
      <c r="U48" t="s">
        <v>208</v>
      </c>
      <c r="V48" t="s">
        <v>209</v>
      </c>
      <c r="W48" t="s">
        <v>210</v>
      </c>
      <c r="X48" t="s">
        <v>211</v>
      </c>
      <c r="Y48" t="s">
        <v>212</v>
      </c>
      <c r="Z48" t="s">
        <v>213</v>
      </c>
      <c r="AA48" t="s">
        <v>214</v>
      </c>
      <c r="AB48" t="s">
        <v>215</v>
      </c>
      <c r="AC48" t="s">
        <v>216</v>
      </c>
      <c r="AD48" t="s">
        <v>217</v>
      </c>
      <c r="AE48" t="s">
        <v>218</v>
      </c>
      <c r="AF48" t="s">
        <v>219</v>
      </c>
      <c r="AG48" t="s">
        <v>32</v>
      </c>
      <c r="AH48" t="s">
        <v>32</v>
      </c>
      <c r="AI48" t="s">
        <v>32</v>
      </c>
      <c r="AJ48" t="s">
        <v>305</v>
      </c>
      <c r="AK48" t="s">
        <v>221</v>
      </c>
      <c r="AL48" t="s">
        <v>222</v>
      </c>
      <c r="AM48" t="s">
        <v>223</v>
      </c>
      <c r="AN48" t="s">
        <v>294</v>
      </c>
      <c r="AO48" t="s">
        <v>295</v>
      </c>
      <c r="AP48" t="s">
        <v>225</v>
      </c>
      <c r="AQ48" t="s">
        <v>226</v>
      </c>
      <c r="AR48" t="s">
        <v>227</v>
      </c>
      <c r="AS48" t="s">
        <v>228</v>
      </c>
      <c r="AT48" t="s">
        <v>229</v>
      </c>
      <c r="AU48" t="s">
        <v>230</v>
      </c>
      <c r="AV48" t="s">
        <v>231</v>
      </c>
      <c r="AW48" t="s">
        <v>232</v>
      </c>
      <c r="AX48" t="s">
        <v>233</v>
      </c>
      <c r="AY48" t="s">
        <v>234</v>
      </c>
      <c r="AZ48" t="s">
        <v>235</v>
      </c>
      <c r="BA48" t="s">
        <v>236</v>
      </c>
      <c r="BB48" t="s">
        <v>237</v>
      </c>
      <c r="BC48" t="s">
        <v>238</v>
      </c>
      <c r="BD48" t="s">
        <v>239</v>
      </c>
      <c r="BE48" t="s">
        <v>240</v>
      </c>
      <c r="BF48" t="s">
        <v>241</v>
      </c>
      <c r="BG48" t="s">
        <v>242</v>
      </c>
      <c r="BH48" t="s">
        <v>243</v>
      </c>
      <c r="BI48" t="s">
        <v>244</v>
      </c>
      <c r="BJ48" t="s">
        <v>245</v>
      </c>
      <c r="BK48" t="s">
        <v>32</v>
      </c>
      <c r="BL48" t="s">
        <v>32</v>
      </c>
      <c r="BM48" t="s">
        <v>15</v>
      </c>
      <c r="BN48" t="s">
        <v>32</v>
      </c>
      <c r="BO48" t="s">
        <v>32</v>
      </c>
      <c r="BP48" t="s">
        <v>32</v>
      </c>
      <c r="BQ48" t="s">
        <v>32</v>
      </c>
      <c r="BR48" t="s">
        <v>15</v>
      </c>
      <c r="BS48" t="s">
        <v>246</v>
      </c>
    </row>
    <row r="49" spans="1:71" x14ac:dyDescent="0.25">
      <c r="A49">
        <v>188</v>
      </c>
      <c r="B49" t="s">
        <v>277</v>
      </c>
      <c r="C49" t="s">
        <v>272</v>
      </c>
      <c r="D49" t="s">
        <v>198</v>
      </c>
      <c r="E49" t="s">
        <v>395</v>
      </c>
      <c r="F49" t="s">
        <v>2</v>
      </c>
      <c r="G49" t="s">
        <v>200</v>
      </c>
      <c r="I49" t="s">
        <v>278</v>
      </c>
      <c r="K49" t="s">
        <v>202</v>
      </c>
      <c r="L49" t="s">
        <v>279</v>
      </c>
      <c r="M49" t="s">
        <v>280</v>
      </c>
      <c r="N49" t="s">
        <v>281</v>
      </c>
      <c r="O49" t="s">
        <v>23</v>
      </c>
      <c r="P49" t="s">
        <v>385</v>
      </c>
      <c r="Q49" t="s">
        <v>15</v>
      </c>
      <c r="R49" t="s">
        <v>32</v>
      </c>
      <c r="S49" t="s">
        <v>32</v>
      </c>
      <c r="T49" t="s">
        <v>207</v>
      </c>
      <c r="U49" t="s">
        <v>208</v>
      </c>
      <c r="V49" t="s">
        <v>209</v>
      </c>
      <c r="W49" t="s">
        <v>210</v>
      </c>
      <c r="X49" t="s">
        <v>211</v>
      </c>
      <c r="Y49" t="s">
        <v>212</v>
      </c>
      <c r="Z49" t="s">
        <v>213</v>
      </c>
      <c r="AA49" t="s">
        <v>214</v>
      </c>
      <c r="AB49" t="s">
        <v>215</v>
      </c>
      <c r="AC49" t="s">
        <v>216</v>
      </c>
      <c r="AD49" t="s">
        <v>217</v>
      </c>
      <c r="AE49" t="s">
        <v>218</v>
      </c>
      <c r="AF49" t="s">
        <v>219</v>
      </c>
      <c r="AG49" t="s">
        <v>32</v>
      </c>
      <c r="AH49" t="s">
        <v>32</v>
      </c>
      <c r="AI49" t="s">
        <v>32</v>
      </c>
      <c r="AJ49" t="s">
        <v>305</v>
      </c>
      <c r="AK49" t="s">
        <v>221</v>
      </c>
      <c r="AL49" t="s">
        <v>222</v>
      </c>
      <c r="AM49" t="s">
        <v>223</v>
      </c>
      <c r="AN49" t="s">
        <v>294</v>
      </c>
      <c r="AO49" t="s">
        <v>295</v>
      </c>
      <c r="AP49" t="s">
        <v>225</v>
      </c>
      <c r="AQ49" t="s">
        <v>226</v>
      </c>
      <c r="AR49" t="s">
        <v>227</v>
      </c>
      <c r="AS49" t="s">
        <v>228</v>
      </c>
      <c r="AT49" t="s">
        <v>229</v>
      </c>
      <c r="AU49" t="s">
        <v>230</v>
      </c>
      <c r="AV49" t="s">
        <v>231</v>
      </c>
      <c r="AW49" t="s">
        <v>232</v>
      </c>
      <c r="AX49" t="s">
        <v>233</v>
      </c>
      <c r="AY49" t="s">
        <v>234</v>
      </c>
      <c r="AZ49" t="s">
        <v>235</v>
      </c>
      <c r="BA49" t="s">
        <v>236</v>
      </c>
      <c r="BB49" t="s">
        <v>237</v>
      </c>
      <c r="BC49" t="s">
        <v>238</v>
      </c>
      <c r="BD49" t="s">
        <v>239</v>
      </c>
      <c r="BE49" t="s">
        <v>240</v>
      </c>
      <c r="BF49" t="s">
        <v>241</v>
      </c>
      <c r="BG49" t="s">
        <v>242</v>
      </c>
      <c r="BH49" t="s">
        <v>243</v>
      </c>
      <c r="BI49" t="s">
        <v>244</v>
      </c>
      <c r="BJ49" t="s">
        <v>245</v>
      </c>
      <c r="BK49" t="s">
        <v>32</v>
      </c>
      <c r="BL49" t="s">
        <v>32</v>
      </c>
      <c r="BM49" t="s">
        <v>15</v>
      </c>
      <c r="BN49" t="s">
        <v>32</v>
      </c>
      <c r="BO49" t="s">
        <v>32</v>
      </c>
      <c r="BP49" t="s">
        <v>32</v>
      </c>
      <c r="BQ49" t="s">
        <v>32</v>
      </c>
      <c r="BR49" t="s">
        <v>15</v>
      </c>
      <c r="BS49" t="s">
        <v>246</v>
      </c>
    </row>
    <row r="50" spans="1:71" x14ac:dyDescent="0.25">
      <c r="A50">
        <v>194</v>
      </c>
      <c r="B50" t="s">
        <v>328</v>
      </c>
      <c r="C50" t="s">
        <v>197</v>
      </c>
      <c r="D50" t="s">
        <v>198</v>
      </c>
      <c r="E50" t="s">
        <v>315</v>
      </c>
      <c r="F50" t="s">
        <v>2</v>
      </c>
      <c r="G50" t="s">
        <v>200</v>
      </c>
      <c r="I50" t="s">
        <v>329</v>
      </c>
      <c r="K50" t="s">
        <v>202</v>
      </c>
      <c r="L50" t="s">
        <v>330</v>
      </c>
      <c r="M50" t="s">
        <v>331</v>
      </c>
      <c r="N50" t="s">
        <v>205</v>
      </c>
      <c r="O50" t="s">
        <v>304</v>
      </c>
      <c r="P50" t="s">
        <v>303</v>
      </c>
      <c r="Q50" t="s">
        <v>288</v>
      </c>
      <c r="R50" t="s">
        <v>289</v>
      </c>
      <c r="S50" t="s">
        <v>290</v>
      </c>
      <c r="T50" t="s">
        <v>15</v>
      </c>
      <c r="U50" t="s">
        <v>32</v>
      </c>
      <c r="V50" t="s">
        <v>32</v>
      </c>
      <c r="W50" t="s">
        <v>32</v>
      </c>
      <c r="X50" t="s">
        <v>32</v>
      </c>
      <c r="Y50" t="s">
        <v>32</v>
      </c>
      <c r="Z50" t="s">
        <v>305</v>
      </c>
      <c r="AA50" t="s">
        <v>214</v>
      </c>
      <c r="AB50" t="s">
        <v>215</v>
      </c>
      <c r="AC50" t="s">
        <v>216</v>
      </c>
      <c r="AD50" t="s">
        <v>217</v>
      </c>
      <c r="AE50" t="s">
        <v>218</v>
      </c>
      <c r="AF50" t="s">
        <v>219</v>
      </c>
      <c r="AG50" t="s">
        <v>291</v>
      </c>
      <c r="AH50" t="s">
        <v>292</v>
      </c>
      <c r="AI50" t="s">
        <v>293</v>
      </c>
      <c r="AJ50" t="s">
        <v>220</v>
      </c>
      <c r="AK50" t="s">
        <v>221</v>
      </c>
      <c r="AL50" t="s">
        <v>222</v>
      </c>
      <c r="AM50" t="s">
        <v>223</v>
      </c>
      <c r="AN50" t="s">
        <v>294</v>
      </c>
      <c r="AO50" t="s">
        <v>295</v>
      </c>
      <c r="AP50" t="s">
        <v>225</v>
      </c>
      <c r="AQ50" t="s">
        <v>226</v>
      </c>
      <c r="AR50" t="s">
        <v>227</v>
      </c>
      <c r="AS50" t="s">
        <v>228</v>
      </c>
      <c r="AT50" t="s">
        <v>229</v>
      </c>
      <c r="AU50" t="s">
        <v>230</v>
      </c>
      <c r="AV50" t="s">
        <v>231</v>
      </c>
      <c r="AW50" t="s">
        <v>232</v>
      </c>
      <c r="AX50" t="s">
        <v>233</v>
      </c>
      <c r="AY50" t="s">
        <v>234</v>
      </c>
      <c r="AZ50" t="s">
        <v>235</v>
      </c>
      <c r="BA50" t="s">
        <v>236</v>
      </c>
      <c r="BB50" t="s">
        <v>237</v>
      </c>
      <c r="BC50" t="s">
        <v>238</v>
      </c>
      <c r="BD50" t="s">
        <v>239</v>
      </c>
      <c r="BE50" t="s">
        <v>240</v>
      </c>
      <c r="BF50" t="s">
        <v>241</v>
      </c>
      <c r="BG50" t="s">
        <v>306</v>
      </c>
      <c r="BH50" t="s">
        <v>307</v>
      </c>
      <c r="BI50" t="s">
        <v>244</v>
      </c>
      <c r="BJ50" t="s">
        <v>308</v>
      </c>
      <c r="BK50" t="s">
        <v>32</v>
      </c>
      <c r="BL50" t="s">
        <v>32</v>
      </c>
      <c r="BM50" t="s">
        <v>15</v>
      </c>
      <c r="BN50" t="s">
        <v>32</v>
      </c>
      <c r="BO50" t="s">
        <v>32</v>
      </c>
      <c r="BP50" t="s">
        <v>32</v>
      </c>
      <c r="BQ50" t="s">
        <v>32</v>
      </c>
      <c r="BR50" t="s">
        <v>15</v>
      </c>
      <c r="BS50" t="s">
        <v>309</v>
      </c>
    </row>
    <row r="51" spans="1:71" x14ac:dyDescent="0.25">
      <c r="A51">
        <v>195</v>
      </c>
      <c r="B51" t="s">
        <v>326</v>
      </c>
      <c r="C51" t="s">
        <v>248</v>
      </c>
      <c r="D51" t="s">
        <v>198</v>
      </c>
      <c r="E51" t="s">
        <v>315</v>
      </c>
      <c r="F51" t="s">
        <v>2</v>
      </c>
      <c r="G51" t="s">
        <v>200</v>
      </c>
      <c r="I51" t="s">
        <v>327</v>
      </c>
      <c r="K51" t="s">
        <v>202</v>
      </c>
      <c r="L51" t="s">
        <v>300</v>
      </c>
      <c r="M51" t="s">
        <v>301</v>
      </c>
      <c r="N51" t="s">
        <v>302</v>
      </c>
      <c r="O51" t="s">
        <v>304</v>
      </c>
      <c r="P51" t="s">
        <v>303</v>
      </c>
      <c r="Q51" t="s">
        <v>288</v>
      </c>
      <c r="R51" t="s">
        <v>289</v>
      </c>
      <c r="S51" t="s">
        <v>290</v>
      </c>
      <c r="T51" t="s">
        <v>15</v>
      </c>
      <c r="U51" t="s">
        <v>32</v>
      </c>
      <c r="V51" t="s">
        <v>32</v>
      </c>
      <c r="W51" t="s">
        <v>32</v>
      </c>
      <c r="X51" t="s">
        <v>32</v>
      </c>
      <c r="Y51" t="s">
        <v>32</v>
      </c>
      <c r="Z51" t="s">
        <v>305</v>
      </c>
      <c r="AA51" t="s">
        <v>214</v>
      </c>
      <c r="AB51" t="s">
        <v>215</v>
      </c>
      <c r="AC51" t="s">
        <v>216</v>
      </c>
      <c r="AD51" t="s">
        <v>217</v>
      </c>
      <c r="AE51" t="s">
        <v>218</v>
      </c>
      <c r="AF51" t="s">
        <v>219</v>
      </c>
      <c r="AG51" t="s">
        <v>291</v>
      </c>
      <c r="AH51" t="s">
        <v>292</v>
      </c>
      <c r="AI51" t="s">
        <v>293</v>
      </c>
      <c r="AJ51" t="s">
        <v>220</v>
      </c>
      <c r="AK51" t="s">
        <v>221</v>
      </c>
      <c r="AL51" t="s">
        <v>222</v>
      </c>
      <c r="AM51" t="s">
        <v>223</v>
      </c>
      <c r="AN51" t="s">
        <v>294</v>
      </c>
      <c r="AO51" t="s">
        <v>295</v>
      </c>
      <c r="AP51" t="s">
        <v>225</v>
      </c>
      <c r="AQ51" t="s">
        <v>226</v>
      </c>
      <c r="AR51" t="s">
        <v>227</v>
      </c>
      <c r="AS51" t="s">
        <v>228</v>
      </c>
      <c r="AT51" t="s">
        <v>229</v>
      </c>
      <c r="AU51" t="s">
        <v>230</v>
      </c>
      <c r="AV51" t="s">
        <v>231</v>
      </c>
      <c r="AW51" t="s">
        <v>232</v>
      </c>
      <c r="AX51" t="s">
        <v>233</v>
      </c>
      <c r="AY51" t="s">
        <v>234</v>
      </c>
      <c r="AZ51" t="s">
        <v>235</v>
      </c>
      <c r="BA51" t="s">
        <v>236</v>
      </c>
      <c r="BB51" t="s">
        <v>237</v>
      </c>
      <c r="BC51" t="s">
        <v>238</v>
      </c>
      <c r="BD51" t="s">
        <v>239</v>
      </c>
      <c r="BE51" t="s">
        <v>240</v>
      </c>
      <c r="BF51" t="s">
        <v>241</v>
      </c>
      <c r="BG51" t="s">
        <v>306</v>
      </c>
      <c r="BH51" t="s">
        <v>307</v>
      </c>
      <c r="BI51" t="s">
        <v>244</v>
      </c>
      <c r="BJ51" t="s">
        <v>308</v>
      </c>
      <c r="BK51" t="s">
        <v>32</v>
      </c>
      <c r="BL51" t="s">
        <v>32</v>
      </c>
      <c r="BM51" t="s">
        <v>15</v>
      </c>
      <c r="BN51" t="s">
        <v>32</v>
      </c>
      <c r="BO51" t="s">
        <v>32</v>
      </c>
      <c r="BP51" t="s">
        <v>32</v>
      </c>
      <c r="BQ51" t="s">
        <v>32</v>
      </c>
      <c r="BR51" t="s">
        <v>15</v>
      </c>
      <c r="BS51" t="s">
        <v>309</v>
      </c>
    </row>
    <row r="52" spans="1:71" x14ac:dyDescent="0.25">
      <c r="A52">
        <v>196</v>
      </c>
      <c r="B52" t="s">
        <v>321</v>
      </c>
      <c r="C52" t="s">
        <v>260</v>
      </c>
      <c r="D52" t="s">
        <v>198</v>
      </c>
      <c r="E52" t="s">
        <v>315</v>
      </c>
      <c r="F52" t="s">
        <v>2</v>
      </c>
      <c r="G52" t="s">
        <v>200</v>
      </c>
      <c r="I52" t="s">
        <v>322</v>
      </c>
      <c r="K52" t="s">
        <v>202</v>
      </c>
      <c r="L52" t="s">
        <v>323</v>
      </c>
      <c r="M52" t="s">
        <v>324</v>
      </c>
      <c r="N52" t="s">
        <v>325</v>
      </c>
      <c r="O52" t="s">
        <v>304</v>
      </c>
      <c r="P52" t="s">
        <v>303</v>
      </c>
      <c r="Q52" t="s">
        <v>288</v>
      </c>
      <c r="R52" t="s">
        <v>289</v>
      </c>
      <c r="S52" t="s">
        <v>290</v>
      </c>
      <c r="T52" t="s">
        <v>15</v>
      </c>
      <c r="U52" t="s">
        <v>32</v>
      </c>
      <c r="V52" t="s">
        <v>32</v>
      </c>
      <c r="W52" t="s">
        <v>32</v>
      </c>
      <c r="X52" t="s">
        <v>32</v>
      </c>
      <c r="Y52" t="s">
        <v>32</v>
      </c>
      <c r="Z52" t="s">
        <v>305</v>
      </c>
      <c r="AA52" t="s">
        <v>214</v>
      </c>
      <c r="AB52" t="s">
        <v>215</v>
      </c>
      <c r="AC52" t="s">
        <v>216</v>
      </c>
      <c r="AD52" t="s">
        <v>217</v>
      </c>
      <c r="AE52" t="s">
        <v>218</v>
      </c>
      <c r="AF52" t="s">
        <v>219</v>
      </c>
      <c r="AG52" t="s">
        <v>291</v>
      </c>
      <c r="AH52" t="s">
        <v>292</v>
      </c>
      <c r="AI52" t="s">
        <v>293</v>
      </c>
      <c r="AJ52" t="s">
        <v>220</v>
      </c>
      <c r="AK52" t="s">
        <v>221</v>
      </c>
      <c r="AL52" t="s">
        <v>222</v>
      </c>
      <c r="AM52" t="s">
        <v>223</v>
      </c>
      <c r="AN52" t="s">
        <v>294</v>
      </c>
      <c r="AO52" t="s">
        <v>295</v>
      </c>
      <c r="AP52" t="s">
        <v>225</v>
      </c>
      <c r="AQ52" t="s">
        <v>226</v>
      </c>
      <c r="AR52" t="s">
        <v>227</v>
      </c>
      <c r="AS52" t="s">
        <v>228</v>
      </c>
      <c r="AT52" t="s">
        <v>229</v>
      </c>
      <c r="AU52" t="s">
        <v>230</v>
      </c>
      <c r="AV52" t="s">
        <v>231</v>
      </c>
      <c r="AW52" t="s">
        <v>232</v>
      </c>
      <c r="AX52" t="s">
        <v>233</v>
      </c>
      <c r="AY52" t="s">
        <v>234</v>
      </c>
      <c r="AZ52" t="s">
        <v>235</v>
      </c>
      <c r="BA52" t="s">
        <v>236</v>
      </c>
      <c r="BB52" t="s">
        <v>237</v>
      </c>
      <c r="BC52" t="s">
        <v>238</v>
      </c>
      <c r="BD52" t="s">
        <v>239</v>
      </c>
      <c r="BE52" t="s">
        <v>240</v>
      </c>
      <c r="BF52" t="s">
        <v>241</v>
      </c>
      <c r="BG52" t="s">
        <v>306</v>
      </c>
      <c r="BH52" t="s">
        <v>307</v>
      </c>
      <c r="BI52" t="s">
        <v>244</v>
      </c>
      <c r="BJ52" t="s">
        <v>308</v>
      </c>
      <c r="BK52" t="s">
        <v>32</v>
      </c>
      <c r="BL52" t="s">
        <v>32</v>
      </c>
      <c r="BM52" t="s">
        <v>15</v>
      </c>
      <c r="BN52" t="s">
        <v>32</v>
      </c>
      <c r="BO52" t="s">
        <v>32</v>
      </c>
      <c r="BP52" t="s">
        <v>32</v>
      </c>
      <c r="BQ52" t="s">
        <v>32</v>
      </c>
      <c r="BR52" t="s">
        <v>15</v>
      </c>
      <c r="BS52" t="s">
        <v>309</v>
      </c>
    </row>
    <row r="53" spans="1:71" x14ac:dyDescent="0.25">
      <c r="A53">
        <v>197</v>
      </c>
      <c r="B53" t="s">
        <v>316</v>
      </c>
      <c r="C53" t="s">
        <v>266</v>
      </c>
      <c r="D53" t="s">
        <v>198</v>
      </c>
      <c r="E53" t="s">
        <v>315</v>
      </c>
      <c r="F53" t="s">
        <v>2</v>
      </c>
      <c r="G53" t="s">
        <v>200</v>
      </c>
      <c r="I53" t="s">
        <v>317</v>
      </c>
      <c r="K53" t="s">
        <v>202</v>
      </c>
      <c r="L53" t="s">
        <v>318</v>
      </c>
      <c r="M53" t="s">
        <v>319</v>
      </c>
      <c r="N53" t="s">
        <v>320</v>
      </c>
      <c r="O53" t="s">
        <v>304</v>
      </c>
      <c r="P53" t="s">
        <v>303</v>
      </c>
      <c r="Q53" t="s">
        <v>288</v>
      </c>
      <c r="R53" t="s">
        <v>289</v>
      </c>
      <c r="S53" t="s">
        <v>290</v>
      </c>
      <c r="T53" t="s">
        <v>15</v>
      </c>
      <c r="U53" t="s">
        <v>32</v>
      </c>
      <c r="V53" t="s">
        <v>32</v>
      </c>
      <c r="W53" t="s">
        <v>32</v>
      </c>
      <c r="X53" t="s">
        <v>32</v>
      </c>
      <c r="Y53" t="s">
        <v>32</v>
      </c>
      <c r="Z53" t="s">
        <v>305</v>
      </c>
      <c r="AA53" t="s">
        <v>214</v>
      </c>
      <c r="AB53" t="s">
        <v>215</v>
      </c>
      <c r="AC53" t="s">
        <v>216</v>
      </c>
      <c r="AD53" t="s">
        <v>217</v>
      </c>
      <c r="AE53" t="s">
        <v>218</v>
      </c>
      <c r="AF53" t="s">
        <v>219</v>
      </c>
      <c r="AG53" t="s">
        <v>291</v>
      </c>
      <c r="AH53" t="s">
        <v>292</v>
      </c>
      <c r="AI53" t="s">
        <v>293</v>
      </c>
      <c r="AJ53" t="s">
        <v>220</v>
      </c>
      <c r="AK53" t="s">
        <v>221</v>
      </c>
      <c r="AL53" t="s">
        <v>222</v>
      </c>
      <c r="AM53" t="s">
        <v>223</v>
      </c>
      <c r="AN53" t="s">
        <v>294</v>
      </c>
      <c r="AO53" t="s">
        <v>295</v>
      </c>
      <c r="AP53" t="s">
        <v>225</v>
      </c>
      <c r="AQ53" t="s">
        <v>226</v>
      </c>
      <c r="AR53" t="s">
        <v>227</v>
      </c>
      <c r="AS53" t="s">
        <v>228</v>
      </c>
      <c r="AT53" t="s">
        <v>229</v>
      </c>
      <c r="AU53" t="s">
        <v>230</v>
      </c>
      <c r="AV53" t="s">
        <v>231</v>
      </c>
      <c r="AW53" t="s">
        <v>232</v>
      </c>
      <c r="AX53" t="s">
        <v>233</v>
      </c>
      <c r="AY53" t="s">
        <v>234</v>
      </c>
      <c r="AZ53" t="s">
        <v>235</v>
      </c>
      <c r="BA53" t="s">
        <v>236</v>
      </c>
      <c r="BB53" t="s">
        <v>237</v>
      </c>
      <c r="BC53" t="s">
        <v>238</v>
      </c>
      <c r="BD53" t="s">
        <v>239</v>
      </c>
      <c r="BE53" t="s">
        <v>240</v>
      </c>
      <c r="BF53" t="s">
        <v>241</v>
      </c>
      <c r="BG53" t="s">
        <v>306</v>
      </c>
      <c r="BH53" t="s">
        <v>307</v>
      </c>
      <c r="BI53" t="s">
        <v>244</v>
      </c>
      <c r="BJ53" t="s">
        <v>308</v>
      </c>
      <c r="BK53" t="s">
        <v>32</v>
      </c>
      <c r="BL53" t="s">
        <v>32</v>
      </c>
      <c r="BM53" t="s">
        <v>15</v>
      </c>
      <c r="BN53" t="s">
        <v>32</v>
      </c>
      <c r="BO53" t="s">
        <v>32</v>
      </c>
      <c r="BP53" t="s">
        <v>32</v>
      </c>
      <c r="BQ53" t="s">
        <v>32</v>
      </c>
      <c r="BR53" t="s">
        <v>15</v>
      </c>
      <c r="BS53" t="s">
        <v>309</v>
      </c>
    </row>
    <row r="54" spans="1:71" x14ac:dyDescent="0.25">
      <c r="A54">
        <v>198</v>
      </c>
      <c r="B54" t="s">
        <v>277</v>
      </c>
      <c r="C54" t="s">
        <v>272</v>
      </c>
      <c r="D54" t="s">
        <v>198</v>
      </c>
      <c r="E54" t="s">
        <v>315</v>
      </c>
      <c r="F54" t="s">
        <v>2</v>
      </c>
      <c r="G54" t="s">
        <v>200</v>
      </c>
      <c r="I54" t="s">
        <v>278</v>
      </c>
      <c r="K54" t="s">
        <v>202</v>
      </c>
      <c r="L54" t="s">
        <v>279</v>
      </c>
      <c r="M54" t="s">
        <v>280</v>
      </c>
      <c r="N54" t="s">
        <v>281</v>
      </c>
      <c r="O54" t="s">
        <v>304</v>
      </c>
      <c r="P54" t="s">
        <v>303</v>
      </c>
      <c r="Q54" t="s">
        <v>288</v>
      </c>
      <c r="R54" t="s">
        <v>289</v>
      </c>
      <c r="S54" t="s">
        <v>290</v>
      </c>
      <c r="T54" t="s">
        <v>15</v>
      </c>
      <c r="U54" t="s">
        <v>32</v>
      </c>
      <c r="V54" t="s">
        <v>32</v>
      </c>
      <c r="W54" t="s">
        <v>32</v>
      </c>
      <c r="X54" t="s">
        <v>32</v>
      </c>
      <c r="Y54" t="s">
        <v>32</v>
      </c>
      <c r="Z54" t="s">
        <v>305</v>
      </c>
      <c r="AA54" t="s">
        <v>214</v>
      </c>
      <c r="AB54" t="s">
        <v>215</v>
      </c>
      <c r="AC54" t="s">
        <v>216</v>
      </c>
      <c r="AD54" t="s">
        <v>217</v>
      </c>
      <c r="AE54" t="s">
        <v>218</v>
      </c>
      <c r="AF54" t="s">
        <v>219</v>
      </c>
      <c r="AG54" t="s">
        <v>291</v>
      </c>
      <c r="AH54" t="s">
        <v>292</v>
      </c>
      <c r="AI54" t="s">
        <v>293</v>
      </c>
      <c r="AJ54" t="s">
        <v>220</v>
      </c>
      <c r="AK54" t="s">
        <v>221</v>
      </c>
      <c r="AL54" t="s">
        <v>222</v>
      </c>
      <c r="AM54" t="s">
        <v>223</v>
      </c>
      <c r="AN54" t="s">
        <v>294</v>
      </c>
      <c r="AO54" t="s">
        <v>295</v>
      </c>
      <c r="AP54" t="s">
        <v>225</v>
      </c>
      <c r="AQ54" t="s">
        <v>226</v>
      </c>
      <c r="AR54" t="s">
        <v>227</v>
      </c>
      <c r="AS54" t="s">
        <v>228</v>
      </c>
      <c r="AT54" t="s">
        <v>229</v>
      </c>
      <c r="AU54" t="s">
        <v>230</v>
      </c>
      <c r="AV54" t="s">
        <v>231</v>
      </c>
      <c r="AW54" t="s">
        <v>232</v>
      </c>
      <c r="AX54" t="s">
        <v>233</v>
      </c>
      <c r="AY54" t="s">
        <v>234</v>
      </c>
      <c r="AZ54" t="s">
        <v>235</v>
      </c>
      <c r="BA54" t="s">
        <v>236</v>
      </c>
      <c r="BB54" t="s">
        <v>237</v>
      </c>
      <c r="BC54" t="s">
        <v>238</v>
      </c>
      <c r="BD54" t="s">
        <v>239</v>
      </c>
      <c r="BE54" t="s">
        <v>240</v>
      </c>
      <c r="BF54" t="s">
        <v>241</v>
      </c>
      <c r="BG54" t="s">
        <v>306</v>
      </c>
      <c r="BH54" t="s">
        <v>307</v>
      </c>
      <c r="BI54" t="s">
        <v>244</v>
      </c>
      <c r="BJ54" t="s">
        <v>308</v>
      </c>
      <c r="BK54" t="s">
        <v>32</v>
      </c>
      <c r="BL54" t="s">
        <v>32</v>
      </c>
      <c r="BM54" t="s">
        <v>15</v>
      </c>
      <c r="BN54" t="s">
        <v>32</v>
      </c>
      <c r="BO54" t="s">
        <v>32</v>
      </c>
      <c r="BP54" t="s">
        <v>32</v>
      </c>
      <c r="BQ54" t="s">
        <v>32</v>
      </c>
      <c r="BR54" t="s">
        <v>15</v>
      </c>
      <c r="BS54" t="s">
        <v>309</v>
      </c>
    </row>
    <row r="55" spans="1:71" x14ac:dyDescent="0.25">
      <c r="A55">
        <v>199</v>
      </c>
      <c r="B55" t="s">
        <v>310</v>
      </c>
      <c r="C55" t="s">
        <v>248</v>
      </c>
      <c r="D55" t="s">
        <v>198</v>
      </c>
      <c r="E55" t="s">
        <v>298</v>
      </c>
      <c r="F55" t="s">
        <v>2</v>
      </c>
      <c r="G55" t="s">
        <v>200</v>
      </c>
      <c r="I55" t="s">
        <v>311</v>
      </c>
      <c r="K55" t="s">
        <v>202</v>
      </c>
      <c r="L55" t="s">
        <v>312</v>
      </c>
      <c r="M55" t="s">
        <v>313</v>
      </c>
      <c r="N55" t="s">
        <v>314</v>
      </c>
      <c r="O55" t="s">
        <v>303</v>
      </c>
      <c r="P55" t="s">
        <v>304</v>
      </c>
      <c r="Q55" t="s">
        <v>15</v>
      </c>
      <c r="R55" t="s">
        <v>32</v>
      </c>
      <c r="S55" t="s">
        <v>32</v>
      </c>
      <c r="T55" t="s">
        <v>207</v>
      </c>
      <c r="U55" t="s">
        <v>208</v>
      </c>
      <c r="V55" t="s">
        <v>209</v>
      </c>
      <c r="W55" t="s">
        <v>210</v>
      </c>
      <c r="X55" t="s">
        <v>211</v>
      </c>
      <c r="Y55" t="s">
        <v>212</v>
      </c>
      <c r="Z55" t="s">
        <v>213</v>
      </c>
      <c r="AA55" t="s">
        <v>214</v>
      </c>
      <c r="AB55" t="s">
        <v>215</v>
      </c>
      <c r="AC55" t="s">
        <v>216</v>
      </c>
      <c r="AD55" t="s">
        <v>217</v>
      </c>
      <c r="AE55" t="s">
        <v>218</v>
      </c>
      <c r="AF55" t="s">
        <v>219</v>
      </c>
      <c r="AG55" t="s">
        <v>32</v>
      </c>
      <c r="AH55" t="s">
        <v>32</v>
      </c>
      <c r="AI55" t="s">
        <v>32</v>
      </c>
      <c r="AJ55" t="s">
        <v>305</v>
      </c>
      <c r="AK55" t="s">
        <v>221</v>
      </c>
      <c r="AL55" t="s">
        <v>222</v>
      </c>
      <c r="AM55" t="s">
        <v>223</v>
      </c>
      <c r="AN55" t="s">
        <v>294</v>
      </c>
      <c r="AO55" t="s">
        <v>295</v>
      </c>
      <c r="AP55" t="s">
        <v>225</v>
      </c>
      <c r="AQ55" t="s">
        <v>226</v>
      </c>
      <c r="AR55" t="s">
        <v>227</v>
      </c>
      <c r="AS55" t="s">
        <v>228</v>
      </c>
      <c r="AT55" t="s">
        <v>229</v>
      </c>
      <c r="AU55" t="s">
        <v>230</v>
      </c>
      <c r="AV55" t="s">
        <v>231</v>
      </c>
      <c r="AW55" t="s">
        <v>232</v>
      </c>
      <c r="AX55" t="s">
        <v>233</v>
      </c>
      <c r="AY55" t="s">
        <v>234</v>
      </c>
      <c r="AZ55" t="s">
        <v>235</v>
      </c>
      <c r="BA55" t="s">
        <v>236</v>
      </c>
      <c r="BB55" t="s">
        <v>237</v>
      </c>
      <c r="BC55" t="s">
        <v>238</v>
      </c>
      <c r="BD55" t="s">
        <v>239</v>
      </c>
      <c r="BE55" t="s">
        <v>240</v>
      </c>
      <c r="BF55" t="s">
        <v>241</v>
      </c>
      <c r="BG55" t="s">
        <v>306</v>
      </c>
      <c r="BH55" t="s">
        <v>307</v>
      </c>
      <c r="BI55" t="s">
        <v>244</v>
      </c>
      <c r="BJ55" t="s">
        <v>308</v>
      </c>
      <c r="BK55" t="s">
        <v>32</v>
      </c>
      <c r="BL55" t="s">
        <v>32</v>
      </c>
      <c r="BM55" t="s">
        <v>15</v>
      </c>
      <c r="BN55" t="s">
        <v>32</v>
      </c>
      <c r="BO55" t="s">
        <v>32</v>
      </c>
      <c r="BP55" t="s">
        <v>32</v>
      </c>
      <c r="BQ55" t="s">
        <v>32</v>
      </c>
      <c r="BR55" t="s">
        <v>15</v>
      </c>
      <c r="BS55" t="s">
        <v>309</v>
      </c>
    </row>
    <row r="56" spans="1:71" x14ac:dyDescent="0.25">
      <c r="A56">
        <v>200</v>
      </c>
      <c r="B56" t="s">
        <v>297</v>
      </c>
      <c r="C56" t="s">
        <v>248</v>
      </c>
      <c r="D56" t="s">
        <v>198</v>
      </c>
      <c r="E56" t="s">
        <v>298</v>
      </c>
      <c r="F56" t="s">
        <v>2</v>
      </c>
      <c r="G56" t="s">
        <v>200</v>
      </c>
      <c r="I56" t="s">
        <v>299</v>
      </c>
      <c r="K56" t="s">
        <v>202</v>
      </c>
      <c r="L56" t="s">
        <v>300</v>
      </c>
      <c r="M56" t="s">
        <v>301</v>
      </c>
      <c r="N56" t="s">
        <v>302</v>
      </c>
      <c r="O56" t="s">
        <v>303</v>
      </c>
      <c r="P56" t="s">
        <v>304</v>
      </c>
      <c r="Q56" t="s">
        <v>15</v>
      </c>
      <c r="R56" t="s">
        <v>32</v>
      </c>
      <c r="S56" t="s">
        <v>32</v>
      </c>
      <c r="T56" t="s">
        <v>207</v>
      </c>
      <c r="U56" t="s">
        <v>208</v>
      </c>
      <c r="V56" t="s">
        <v>209</v>
      </c>
      <c r="W56" t="s">
        <v>210</v>
      </c>
      <c r="X56" t="s">
        <v>211</v>
      </c>
      <c r="Y56" t="s">
        <v>212</v>
      </c>
      <c r="Z56" t="s">
        <v>213</v>
      </c>
      <c r="AA56" t="s">
        <v>214</v>
      </c>
      <c r="AB56" t="s">
        <v>215</v>
      </c>
      <c r="AC56" t="s">
        <v>216</v>
      </c>
      <c r="AD56" t="s">
        <v>217</v>
      </c>
      <c r="AE56" t="s">
        <v>218</v>
      </c>
      <c r="AF56" t="s">
        <v>219</v>
      </c>
      <c r="AG56" t="s">
        <v>32</v>
      </c>
      <c r="AH56" t="s">
        <v>32</v>
      </c>
      <c r="AI56" t="s">
        <v>32</v>
      </c>
      <c r="AJ56" t="s">
        <v>305</v>
      </c>
      <c r="AK56" t="s">
        <v>221</v>
      </c>
      <c r="AL56" t="s">
        <v>222</v>
      </c>
      <c r="AM56" t="s">
        <v>223</v>
      </c>
      <c r="AN56" t="s">
        <v>294</v>
      </c>
      <c r="AO56" t="s">
        <v>295</v>
      </c>
      <c r="AP56" t="s">
        <v>225</v>
      </c>
      <c r="AQ56" t="s">
        <v>226</v>
      </c>
      <c r="AR56" t="s">
        <v>227</v>
      </c>
      <c r="AS56" t="s">
        <v>228</v>
      </c>
      <c r="AT56" t="s">
        <v>229</v>
      </c>
      <c r="AU56" t="s">
        <v>230</v>
      </c>
      <c r="AV56" t="s">
        <v>231</v>
      </c>
      <c r="AW56" t="s">
        <v>232</v>
      </c>
      <c r="AX56" t="s">
        <v>233</v>
      </c>
      <c r="AY56" t="s">
        <v>234</v>
      </c>
      <c r="AZ56" t="s">
        <v>235</v>
      </c>
      <c r="BA56" t="s">
        <v>236</v>
      </c>
      <c r="BB56" t="s">
        <v>237</v>
      </c>
      <c r="BC56" t="s">
        <v>238</v>
      </c>
      <c r="BD56" t="s">
        <v>239</v>
      </c>
      <c r="BE56" t="s">
        <v>240</v>
      </c>
      <c r="BF56" t="s">
        <v>241</v>
      </c>
      <c r="BG56" t="s">
        <v>306</v>
      </c>
      <c r="BH56" t="s">
        <v>307</v>
      </c>
      <c r="BI56" t="s">
        <v>244</v>
      </c>
      <c r="BJ56" t="s">
        <v>308</v>
      </c>
      <c r="BK56" t="s">
        <v>32</v>
      </c>
      <c r="BL56" t="s">
        <v>32</v>
      </c>
      <c r="BM56" t="s">
        <v>15</v>
      </c>
      <c r="BN56" t="s">
        <v>32</v>
      </c>
      <c r="BO56" t="s">
        <v>32</v>
      </c>
      <c r="BP56" t="s">
        <v>32</v>
      </c>
      <c r="BQ56" t="s">
        <v>32</v>
      </c>
      <c r="BR56" t="s">
        <v>15</v>
      </c>
      <c r="BS56" t="s">
        <v>309</v>
      </c>
    </row>
    <row r="57" spans="1:71" x14ac:dyDescent="0.25">
      <c r="A57">
        <v>201</v>
      </c>
      <c r="B57" t="s">
        <v>412</v>
      </c>
      <c r="C57" t="s">
        <v>260</v>
      </c>
      <c r="D57" t="s">
        <v>198</v>
      </c>
      <c r="E57" t="s">
        <v>298</v>
      </c>
      <c r="F57" t="s">
        <v>2</v>
      </c>
      <c r="G57" t="s">
        <v>200</v>
      </c>
      <c r="I57" t="s">
        <v>413</v>
      </c>
      <c r="K57" t="s">
        <v>202</v>
      </c>
      <c r="L57" t="s">
        <v>323</v>
      </c>
      <c r="M57" t="s">
        <v>324</v>
      </c>
      <c r="N57" t="s">
        <v>325</v>
      </c>
      <c r="O57" t="s">
        <v>303</v>
      </c>
      <c r="P57" t="s">
        <v>304</v>
      </c>
      <c r="Q57" t="s">
        <v>15</v>
      </c>
      <c r="R57" t="s">
        <v>32</v>
      </c>
      <c r="S57" t="s">
        <v>32</v>
      </c>
      <c r="T57" t="s">
        <v>207</v>
      </c>
      <c r="U57" t="s">
        <v>208</v>
      </c>
      <c r="V57" t="s">
        <v>209</v>
      </c>
      <c r="W57" t="s">
        <v>210</v>
      </c>
      <c r="X57" t="s">
        <v>211</v>
      </c>
      <c r="Y57" t="s">
        <v>212</v>
      </c>
      <c r="Z57" t="s">
        <v>213</v>
      </c>
      <c r="AA57" t="s">
        <v>214</v>
      </c>
      <c r="AB57" t="s">
        <v>215</v>
      </c>
      <c r="AC57" t="s">
        <v>216</v>
      </c>
      <c r="AD57" t="s">
        <v>217</v>
      </c>
      <c r="AE57" t="s">
        <v>218</v>
      </c>
      <c r="AF57" t="s">
        <v>219</v>
      </c>
      <c r="AG57" t="s">
        <v>32</v>
      </c>
      <c r="AH57" t="s">
        <v>32</v>
      </c>
      <c r="AI57" t="s">
        <v>32</v>
      </c>
      <c r="AJ57" t="s">
        <v>305</v>
      </c>
      <c r="AK57" t="s">
        <v>221</v>
      </c>
      <c r="AL57" t="s">
        <v>222</v>
      </c>
      <c r="AM57" t="s">
        <v>223</v>
      </c>
      <c r="AN57" t="s">
        <v>294</v>
      </c>
      <c r="AO57" t="s">
        <v>295</v>
      </c>
      <c r="AP57" t="s">
        <v>225</v>
      </c>
      <c r="AQ57" t="s">
        <v>226</v>
      </c>
      <c r="AR57" t="s">
        <v>227</v>
      </c>
      <c r="AS57" t="s">
        <v>228</v>
      </c>
      <c r="AT57" t="s">
        <v>229</v>
      </c>
      <c r="AU57" t="s">
        <v>230</v>
      </c>
      <c r="AV57" t="s">
        <v>231</v>
      </c>
      <c r="AW57" t="s">
        <v>232</v>
      </c>
      <c r="AX57" t="s">
        <v>233</v>
      </c>
      <c r="AY57" t="s">
        <v>234</v>
      </c>
      <c r="AZ57" t="s">
        <v>235</v>
      </c>
      <c r="BA57" t="s">
        <v>236</v>
      </c>
      <c r="BB57" t="s">
        <v>237</v>
      </c>
      <c r="BC57" t="s">
        <v>238</v>
      </c>
      <c r="BD57" t="s">
        <v>239</v>
      </c>
      <c r="BE57" t="s">
        <v>240</v>
      </c>
      <c r="BF57" t="s">
        <v>241</v>
      </c>
      <c r="BG57" t="s">
        <v>306</v>
      </c>
      <c r="BH57" t="s">
        <v>307</v>
      </c>
      <c r="BI57" t="s">
        <v>244</v>
      </c>
      <c r="BJ57" t="s">
        <v>308</v>
      </c>
      <c r="BK57" t="s">
        <v>32</v>
      </c>
      <c r="BL57" t="s">
        <v>32</v>
      </c>
      <c r="BM57" t="s">
        <v>15</v>
      </c>
      <c r="BN57" t="s">
        <v>32</v>
      </c>
      <c r="BO57" t="s">
        <v>32</v>
      </c>
      <c r="BP57" t="s">
        <v>32</v>
      </c>
      <c r="BQ57" t="s">
        <v>32</v>
      </c>
      <c r="BR57" t="s">
        <v>15</v>
      </c>
      <c r="BS57" t="s">
        <v>309</v>
      </c>
    </row>
    <row r="58" spans="1:71" x14ac:dyDescent="0.25">
      <c r="A58">
        <v>202</v>
      </c>
      <c r="B58" t="s">
        <v>380</v>
      </c>
      <c r="C58" t="s">
        <v>266</v>
      </c>
      <c r="D58" t="s">
        <v>198</v>
      </c>
      <c r="E58" t="s">
        <v>298</v>
      </c>
      <c r="F58" t="s">
        <v>2</v>
      </c>
      <c r="G58" t="s">
        <v>200</v>
      </c>
      <c r="I58" t="s">
        <v>381</v>
      </c>
      <c r="K58" t="s">
        <v>202</v>
      </c>
      <c r="L58" t="s">
        <v>268</v>
      </c>
      <c r="M58" t="s">
        <v>269</v>
      </c>
      <c r="N58" t="s">
        <v>270</v>
      </c>
      <c r="O58" t="s">
        <v>303</v>
      </c>
      <c r="P58" t="s">
        <v>304</v>
      </c>
      <c r="Q58" t="s">
        <v>15</v>
      </c>
      <c r="R58" t="s">
        <v>32</v>
      </c>
      <c r="S58" t="s">
        <v>32</v>
      </c>
      <c r="T58" t="s">
        <v>207</v>
      </c>
      <c r="U58" t="s">
        <v>208</v>
      </c>
      <c r="V58" t="s">
        <v>209</v>
      </c>
      <c r="W58" t="s">
        <v>210</v>
      </c>
      <c r="X58" t="s">
        <v>211</v>
      </c>
      <c r="Y58" t="s">
        <v>212</v>
      </c>
      <c r="Z58" t="s">
        <v>213</v>
      </c>
      <c r="AA58" t="s">
        <v>214</v>
      </c>
      <c r="AB58" t="s">
        <v>215</v>
      </c>
      <c r="AC58" t="s">
        <v>216</v>
      </c>
      <c r="AD58" t="s">
        <v>217</v>
      </c>
      <c r="AE58" t="s">
        <v>218</v>
      </c>
      <c r="AF58" t="s">
        <v>219</v>
      </c>
      <c r="AG58" t="s">
        <v>32</v>
      </c>
      <c r="AH58" t="s">
        <v>32</v>
      </c>
      <c r="AI58" t="s">
        <v>32</v>
      </c>
      <c r="AJ58" t="s">
        <v>305</v>
      </c>
      <c r="AK58" t="s">
        <v>221</v>
      </c>
      <c r="AL58" t="s">
        <v>222</v>
      </c>
      <c r="AM58" t="s">
        <v>223</v>
      </c>
      <c r="AN58" t="s">
        <v>294</v>
      </c>
      <c r="AO58" t="s">
        <v>295</v>
      </c>
      <c r="AP58" t="s">
        <v>225</v>
      </c>
      <c r="AQ58" t="s">
        <v>226</v>
      </c>
      <c r="AR58" t="s">
        <v>227</v>
      </c>
      <c r="AS58" t="s">
        <v>228</v>
      </c>
      <c r="AT58" t="s">
        <v>229</v>
      </c>
      <c r="AU58" t="s">
        <v>230</v>
      </c>
      <c r="AV58" t="s">
        <v>231</v>
      </c>
      <c r="AW58" t="s">
        <v>232</v>
      </c>
      <c r="AX58" t="s">
        <v>233</v>
      </c>
      <c r="AY58" t="s">
        <v>234</v>
      </c>
      <c r="AZ58" t="s">
        <v>235</v>
      </c>
      <c r="BA58" t="s">
        <v>236</v>
      </c>
      <c r="BB58" t="s">
        <v>237</v>
      </c>
      <c r="BC58" t="s">
        <v>238</v>
      </c>
      <c r="BD58" t="s">
        <v>239</v>
      </c>
      <c r="BE58" t="s">
        <v>240</v>
      </c>
      <c r="BF58" t="s">
        <v>241</v>
      </c>
      <c r="BG58" t="s">
        <v>306</v>
      </c>
      <c r="BH58" t="s">
        <v>307</v>
      </c>
      <c r="BI58" t="s">
        <v>244</v>
      </c>
      <c r="BJ58" t="s">
        <v>308</v>
      </c>
      <c r="BK58" t="s">
        <v>32</v>
      </c>
      <c r="BL58" t="s">
        <v>32</v>
      </c>
      <c r="BM58" t="s">
        <v>15</v>
      </c>
      <c r="BN58" t="s">
        <v>32</v>
      </c>
      <c r="BO58" t="s">
        <v>32</v>
      </c>
      <c r="BP58" t="s">
        <v>32</v>
      </c>
      <c r="BQ58" t="s">
        <v>32</v>
      </c>
      <c r="BR58" t="s">
        <v>15</v>
      </c>
      <c r="BS58" t="s">
        <v>309</v>
      </c>
    </row>
    <row r="59" spans="1:71" x14ac:dyDescent="0.25">
      <c r="A59">
        <v>203</v>
      </c>
      <c r="B59" t="s">
        <v>410</v>
      </c>
      <c r="C59" t="s">
        <v>266</v>
      </c>
      <c r="D59" t="s">
        <v>198</v>
      </c>
      <c r="E59" t="s">
        <v>298</v>
      </c>
      <c r="F59" t="s">
        <v>2</v>
      </c>
      <c r="G59" t="s">
        <v>200</v>
      </c>
      <c r="I59" t="s">
        <v>411</v>
      </c>
      <c r="K59" t="s">
        <v>202</v>
      </c>
      <c r="L59" t="s">
        <v>318</v>
      </c>
      <c r="M59" t="s">
        <v>319</v>
      </c>
      <c r="N59" t="s">
        <v>320</v>
      </c>
      <c r="O59" t="s">
        <v>303</v>
      </c>
      <c r="P59" t="s">
        <v>304</v>
      </c>
      <c r="Q59" t="s">
        <v>15</v>
      </c>
      <c r="R59" t="s">
        <v>32</v>
      </c>
      <c r="S59" t="s">
        <v>32</v>
      </c>
      <c r="T59" t="s">
        <v>207</v>
      </c>
      <c r="U59" t="s">
        <v>208</v>
      </c>
      <c r="V59" t="s">
        <v>209</v>
      </c>
      <c r="W59" t="s">
        <v>210</v>
      </c>
      <c r="X59" t="s">
        <v>211</v>
      </c>
      <c r="Y59" t="s">
        <v>212</v>
      </c>
      <c r="Z59" t="s">
        <v>213</v>
      </c>
      <c r="AA59" t="s">
        <v>214</v>
      </c>
      <c r="AB59" t="s">
        <v>215</v>
      </c>
      <c r="AC59" t="s">
        <v>216</v>
      </c>
      <c r="AD59" t="s">
        <v>217</v>
      </c>
      <c r="AE59" t="s">
        <v>218</v>
      </c>
      <c r="AF59" t="s">
        <v>219</v>
      </c>
      <c r="AG59" t="s">
        <v>32</v>
      </c>
      <c r="AH59" t="s">
        <v>32</v>
      </c>
      <c r="AI59" t="s">
        <v>32</v>
      </c>
      <c r="AJ59" t="s">
        <v>305</v>
      </c>
      <c r="AK59" t="s">
        <v>221</v>
      </c>
      <c r="AL59" t="s">
        <v>222</v>
      </c>
      <c r="AM59" t="s">
        <v>223</v>
      </c>
      <c r="AN59" t="s">
        <v>294</v>
      </c>
      <c r="AO59" t="s">
        <v>295</v>
      </c>
      <c r="AP59" t="s">
        <v>225</v>
      </c>
      <c r="AQ59" t="s">
        <v>226</v>
      </c>
      <c r="AR59" t="s">
        <v>227</v>
      </c>
      <c r="AS59" t="s">
        <v>228</v>
      </c>
      <c r="AT59" t="s">
        <v>229</v>
      </c>
      <c r="AU59" t="s">
        <v>230</v>
      </c>
      <c r="AV59" t="s">
        <v>231</v>
      </c>
      <c r="AW59" t="s">
        <v>232</v>
      </c>
      <c r="AX59" t="s">
        <v>233</v>
      </c>
      <c r="AY59" t="s">
        <v>234</v>
      </c>
      <c r="AZ59" t="s">
        <v>235</v>
      </c>
      <c r="BA59" t="s">
        <v>236</v>
      </c>
      <c r="BB59" t="s">
        <v>237</v>
      </c>
      <c r="BC59" t="s">
        <v>238</v>
      </c>
      <c r="BD59" t="s">
        <v>239</v>
      </c>
      <c r="BE59" t="s">
        <v>240</v>
      </c>
      <c r="BF59" t="s">
        <v>241</v>
      </c>
      <c r="BG59" t="s">
        <v>306</v>
      </c>
      <c r="BH59" t="s">
        <v>307</v>
      </c>
      <c r="BI59" t="s">
        <v>244</v>
      </c>
      <c r="BJ59" t="s">
        <v>308</v>
      </c>
      <c r="BK59" t="s">
        <v>32</v>
      </c>
      <c r="BL59" t="s">
        <v>32</v>
      </c>
      <c r="BM59" t="s">
        <v>15</v>
      </c>
      <c r="BN59" t="s">
        <v>32</v>
      </c>
      <c r="BO59" t="s">
        <v>32</v>
      </c>
      <c r="BP59" t="s">
        <v>32</v>
      </c>
      <c r="BQ59" t="s">
        <v>32</v>
      </c>
      <c r="BR59" t="s">
        <v>15</v>
      </c>
      <c r="BS59" t="s">
        <v>309</v>
      </c>
    </row>
    <row r="60" spans="1:71" x14ac:dyDescent="0.25">
      <c r="A60">
        <v>204</v>
      </c>
      <c r="B60" t="s">
        <v>271</v>
      </c>
      <c r="C60" t="s">
        <v>272</v>
      </c>
      <c r="D60" t="s">
        <v>198</v>
      </c>
      <c r="E60" t="s">
        <v>298</v>
      </c>
      <c r="F60" t="s">
        <v>2</v>
      </c>
      <c r="G60" t="s">
        <v>200</v>
      </c>
      <c r="I60" t="s">
        <v>382</v>
      </c>
      <c r="K60" t="s">
        <v>202</v>
      </c>
      <c r="L60" t="s">
        <v>274</v>
      </c>
      <c r="M60" t="s">
        <v>275</v>
      </c>
      <c r="N60" t="s">
        <v>276</v>
      </c>
      <c r="O60" t="s">
        <v>303</v>
      </c>
      <c r="P60" t="s">
        <v>304</v>
      </c>
      <c r="Q60" t="s">
        <v>15</v>
      </c>
      <c r="R60" t="s">
        <v>32</v>
      </c>
      <c r="S60" t="s">
        <v>32</v>
      </c>
      <c r="T60" t="s">
        <v>207</v>
      </c>
      <c r="U60" t="s">
        <v>208</v>
      </c>
      <c r="V60" t="s">
        <v>209</v>
      </c>
      <c r="W60" t="s">
        <v>210</v>
      </c>
      <c r="X60" t="s">
        <v>211</v>
      </c>
      <c r="Y60" t="s">
        <v>212</v>
      </c>
      <c r="Z60" t="s">
        <v>213</v>
      </c>
      <c r="AA60" t="s">
        <v>214</v>
      </c>
      <c r="AB60" t="s">
        <v>215</v>
      </c>
      <c r="AC60" t="s">
        <v>216</v>
      </c>
      <c r="AD60" t="s">
        <v>217</v>
      </c>
      <c r="AE60" t="s">
        <v>218</v>
      </c>
      <c r="AF60" t="s">
        <v>219</v>
      </c>
      <c r="AG60" t="s">
        <v>32</v>
      </c>
      <c r="AH60" t="s">
        <v>32</v>
      </c>
      <c r="AI60" t="s">
        <v>32</v>
      </c>
      <c r="AJ60" t="s">
        <v>305</v>
      </c>
      <c r="AK60" t="s">
        <v>221</v>
      </c>
      <c r="AL60" t="s">
        <v>222</v>
      </c>
      <c r="AM60" t="s">
        <v>223</v>
      </c>
      <c r="AN60" t="s">
        <v>294</v>
      </c>
      <c r="AO60" t="s">
        <v>295</v>
      </c>
      <c r="AP60" t="s">
        <v>225</v>
      </c>
      <c r="AQ60" t="s">
        <v>226</v>
      </c>
      <c r="AR60" t="s">
        <v>227</v>
      </c>
      <c r="AS60" t="s">
        <v>228</v>
      </c>
      <c r="AT60" t="s">
        <v>229</v>
      </c>
      <c r="AU60" t="s">
        <v>230</v>
      </c>
      <c r="AV60" t="s">
        <v>231</v>
      </c>
      <c r="AW60" t="s">
        <v>232</v>
      </c>
      <c r="AX60" t="s">
        <v>233</v>
      </c>
      <c r="AY60" t="s">
        <v>234</v>
      </c>
      <c r="AZ60" t="s">
        <v>235</v>
      </c>
      <c r="BA60" t="s">
        <v>236</v>
      </c>
      <c r="BB60" t="s">
        <v>237</v>
      </c>
      <c r="BC60" t="s">
        <v>238</v>
      </c>
      <c r="BD60" t="s">
        <v>239</v>
      </c>
      <c r="BE60" t="s">
        <v>240</v>
      </c>
      <c r="BF60" t="s">
        <v>241</v>
      </c>
      <c r="BG60" t="s">
        <v>306</v>
      </c>
      <c r="BH60" t="s">
        <v>307</v>
      </c>
      <c r="BI60" t="s">
        <v>244</v>
      </c>
      <c r="BJ60" t="s">
        <v>308</v>
      </c>
      <c r="BK60" t="s">
        <v>32</v>
      </c>
      <c r="BL60" t="s">
        <v>32</v>
      </c>
      <c r="BM60" t="s">
        <v>15</v>
      </c>
      <c r="BN60" t="s">
        <v>32</v>
      </c>
      <c r="BO60" t="s">
        <v>32</v>
      </c>
      <c r="BP60" t="s">
        <v>32</v>
      </c>
      <c r="BQ60" t="s">
        <v>32</v>
      </c>
      <c r="BR60" t="s">
        <v>15</v>
      </c>
      <c r="BS60" t="s">
        <v>309</v>
      </c>
    </row>
    <row r="61" spans="1:71" x14ac:dyDescent="0.25">
      <c r="A61">
        <v>205</v>
      </c>
      <c r="B61" t="s">
        <v>277</v>
      </c>
      <c r="C61" t="s">
        <v>272</v>
      </c>
      <c r="D61" t="s">
        <v>198</v>
      </c>
      <c r="E61" t="s">
        <v>298</v>
      </c>
      <c r="F61" t="s">
        <v>2</v>
      </c>
      <c r="G61" t="s">
        <v>200</v>
      </c>
      <c r="I61" t="s">
        <v>278</v>
      </c>
      <c r="K61" t="s">
        <v>202</v>
      </c>
      <c r="L61" t="s">
        <v>279</v>
      </c>
      <c r="M61" t="s">
        <v>280</v>
      </c>
      <c r="N61" t="s">
        <v>281</v>
      </c>
      <c r="O61" t="s">
        <v>303</v>
      </c>
      <c r="P61" t="s">
        <v>304</v>
      </c>
      <c r="Q61" t="s">
        <v>15</v>
      </c>
      <c r="R61" t="s">
        <v>32</v>
      </c>
      <c r="S61" t="s">
        <v>32</v>
      </c>
      <c r="T61" t="s">
        <v>207</v>
      </c>
      <c r="U61" t="s">
        <v>208</v>
      </c>
      <c r="V61" t="s">
        <v>209</v>
      </c>
      <c r="W61" t="s">
        <v>210</v>
      </c>
      <c r="X61" t="s">
        <v>211</v>
      </c>
      <c r="Y61" t="s">
        <v>212</v>
      </c>
      <c r="Z61" t="s">
        <v>213</v>
      </c>
      <c r="AA61" t="s">
        <v>214</v>
      </c>
      <c r="AB61" t="s">
        <v>215</v>
      </c>
      <c r="AC61" t="s">
        <v>216</v>
      </c>
      <c r="AD61" t="s">
        <v>217</v>
      </c>
      <c r="AE61" t="s">
        <v>218</v>
      </c>
      <c r="AF61" t="s">
        <v>219</v>
      </c>
      <c r="AG61" t="s">
        <v>32</v>
      </c>
      <c r="AH61" t="s">
        <v>32</v>
      </c>
      <c r="AI61" t="s">
        <v>32</v>
      </c>
      <c r="AJ61" t="s">
        <v>305</v>
      </c>
      <c r="AK61" t="s">
        <v>221</v>
      </c>
      <c r="AL61" t="s">
        <v>222</v>
      </c>
      <c r="AM61" t="s">
        <v>223</v>
      </c>
      <c r="AN61" t="s">
        <v>294</v>
      </c>
      <c r="AO61" t="s">
        <v>295</v>
      </c>
      <c r="AP61" t="s">
        <v>225</v>
      </c>
      <c r="AQ61" t="s">
        <v>226</v>
      </c>
      <c r="AR61" t="s">
        <v>227</v>
      </c>
      <c r="AS61" t="s">
        <v>228</v>
      </c>
      <c r="AT61" t="s">
        <v>229</v>
      </c>
      <c r="AU61" t="s">
        <v>230</v>
      </c>
      <c r="AV61" t="s">
        <v>231</v>
      </c>
      <c r="AW61" t="s">
        <v>232</v>
      </c>
      <c r="AX61" t="s">
        <v>233</v>
      </c>
      <c r="AY61" t="s">
        <v>234</v>
      </c>
      <c r="AZ61" t="s">
        <v>235</v>
      </c>
      <c r="BA61" t="s">
        <v>236</v>
      </c>
      <c r="BB61" t="s">
        <v>237</v>
      </c>
      <c r="BC61" t="s">
        <v>238</v>
      </c>
      <c r="BD61" t="s">
        <v>239</v>
      </c>
      <c r="BE61" t="s">
        <v>240</v>
      </c>
      <c r="BF61" t="s">
        <v>241</v>
      </c>
      <c r="BG61" t="s">
        <v>306</v>
      </c>
      <c r="BH61" t="s">
        <v>307</v>
      </c>
      <c r="BI61" t="s">
        <v>244</v>
      </c>
      <c r="BJ61" t="s">
        <v>308</v>
      </c>
      <c r="BK61" t="s">
        <v>32</v>
      </c>
      <c r="BL61" t="s">
        <v>32</v>
      </c>
      <c r="BM61" t="s">
        <v>15</v>
      </c>
      <c r="BN61" t="s">
        <v>32</v>
      </c>
      <c r="BO61" t="s">
        <v>32</v>
      </c>
      <c r="BP61" t="s">
        <v>32</v>
      </c>
      <c r="BQ61" t="s">
        <v>32</v>
      </c>
      <c r="BR61" t="s">
        <v>15</v>
      </c>
      <c r="BS61" t="s">
        <v>309</v>
      </c>
    </row>
    <row r="62" spans="1:71" x14ac:dyDescent="0.25">
      <c r="A62">
        <v>206</v>
      </c>
      <c r="B62" t="s">
        <v>282</v>
      </c>
      <c r="C62" t="s">
        <v>248</v>
      </c>
      <c r="D62" t="s">
        <v>198</v>
      </c>
      <c r="E62" t="s">
        <v>383</v>
      </c>
      <c r="F62" t="s">
        <v>2</v>
      </c>
      <c r="G62" t="s">
        <v>200</v>
      </c>
      <c r="I62" t="s">
        <v>384</v>
      </c>
      <c r="K62" t="s">
        <v>202</v>
      </c>
      <c r="L62" t="s">
        <v>285</v>
      </c>
      <c r="M62" t="s">
        <v>286</v>
      </c>
      <c r="N62" t="s">
        <v>287</v>
      </c>
      <c r="O62" t="s">
        <v>385</v>
      </c>
      <c r="P62" t="s">
        <v>23</v>
      </c>
      <c r="Q62" t="s">
        <v>288</v>
      </c>
      <c r="R62" t="s">
        <v>289</v>
      </c>
      <c r="S62" t="s">
        <v>290</v>
      </c>
      <c r="T62" t="s">
        <v>15</v>
      </c>
      <c r="U62" t="s">
        <v>32</v>
      </c>
      <c r="V62" t="s">
        <v>32</v>
      </c>
      <c r="W62" t="s">
        <v>32</v>
      </c>
      <c r="X62" t="s">
        <v>32</v>
      </c>
      <c r="Y62" t="s">
        <v>32</v>
      </c>
      <c r="Z62" t="s">
        <v>305</v>
      </c>
      <c r="AA62" t="s">
        <v>214</v>
      </c>
      <c r="AB62" t="s">
        <v>215</v>
      </c>
      <c r="AC62" t="s">
        <v>216</v>
      </c>
      <c r="AD62" t="s">
        <v>217</v>
      </c>
      <c r="AE62" t="s">
        <v>218</v>
      </c>
      <c r="AF62" t="s">
        <v>219</v>
      </c>
      <c r="AG62" t="s">
        <v>291</v>
      </c>
      <c r="AH62" t="s">
        <v>292</v>
      </c>
      <c r="AI62" t="s">
        <v>293</v>
      </c>
      <c r="AJ62" t="s">
        <v>220</v>
      </c>
      <c r="AK62" t="s">
        <v>221</v>
      </c>
      <c r="AL62" t="s">
        <v>222</v>
      </c>
      <c r="AM62" t="s">
        <v>223</v>
      </c>
      <c r="AN62" t="s">
        <v>294</v>
      </c>
      <c r="AO62" t="s">
        <v>295</v>
      </c>
      <c r="AP62" t="s">
        <v>225</v>
      </c>
      <c r="AQ62" t="s">
        <v>226</v>
      </c>
      <c r="AR62" t="s">
        <v>227</v>
      </c>
      <c r="AS62" t="s">
        <v>228</v>
      </c>
      <c r="AT62" t="s">
        <v>229</v>
      </c>
      <c r="AU62" t="s">
        <v>230</v>
      </c>
      <c r="AV62" t="s">
        <v>231</v>
      </c>
      <c r="AW62" t="s">
        <v>232</v>
      </c>
      <c r="AX62" t="s">
        <v>233</v>
      </c>
      <c r="AY62" t="s">
        <v>234</v>
      </c>
      <c r="AZ62" t="s">
        <v>235</v>
      </c>
      <c r="BA62" t="s">
        <v>236</v>
      </c>
      <c r="BB62" t="s">
        <v>237</v>
      </c>
      <c r="BC62" t="s">
        <v>238</v>
      </c>
      <c r="BD62" t="s">
        <v>239</v>
      </c>
      <c r="BE62" t="s">
        <v>240</v>
      </c>
      <c r="BF62" t="s">
        <v>241</v>
      </c>
      <c r="BG62" t="s">
        <v>296</v>
      </c>
      <c r="BH62" t="s">
        <v>243</v>
      </c>
      <c r="BI62" t="s">
        <v>244</v>
      </c>
      <c r="BJ62" t="s">
        <v>245</v>
      </c>
      <c r="BK62" t="s">
        <v>32</v>
      </c>
      <c r="BL62" t="s">
        <v>32</v>
      </c>
      <c r="BM62" t="s">
        <v>15</v>
      </c>
      <c r="BN62" t="s">
        <v>32</v>
      </c>
      <c r="BO62" t="s">
        <v>32</v>
      </c>
      <c r="BP62" t="s">
        <v>32</v>
      </c>
      <c r="BQ62" t="s">
        <v>32</v>
      </c>
      <c r="BR62" t="s">
        <v>15</v>
      </c>
      <c r="BS62" t="s">
        <v>246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21</vt:i4>
      </vt:variant>
    </vt:vector>
  </HeadingPairs>
  <TitlesOfParts>
    <vt:vector size="23" baseType="lpstr">
      <vt:lpstr>Pre-Mitigated VA</vt:lpstr>
      <vt:lpstr>Post-Mitigated VA</vt:lpstr>
      <vt:lpstr>Access_Complexity</vt:lpstr>
      <vt:lpstr>Access_Vector</vt:lpstr>
      <vt:lpstr>AccessComplexityValues</vt:lpstr>
      <vt:lpstr>AccessVectorValues</vt:lpstr>
      <vt:lpstr>Authentication</vt:lpstr>
      <vt:lpstr>AuthenticationValues</vt:lpstr>
      <vt:lpstr>Availability_Impact</vt:lpstr>
      <vt:lpstr>Availability_Requirement</vt:lpstr>
      <vt:lpstr>AvailabilityImpactValues</vt:lpstr>
      <vt:lpstr>Awareness</vt:lpstr>
      <vt:lpstr>AwarenessValues</vt:lpstr>
      <vt:lpstr>Collateral_Damage_Potential</vt:lpstr>
      <vt:lpstr>CollateralDamagePotentialValues</vt:lpstr>
      <vt:lpstr>Confidentiality_Impact</vt:lpstr>
      <vt:lpstr>Confidentiality_Requirement</vt:lpstr>
      <vt:lpstr>ConfidentialityImpactValues</vt:lpstr>
      <vt:lpstr>Impacts_Safety_and_Efficacy</vt:lpstr>
      <vt:lpstr>ImpactsSafetyEfficacyValues</vt:lpstr>
      <vt:lpstr>Integrity_Impact</vt:lpstr>
      <vt:lpstr>Integrity_Requirement</vt:lpstr>
      <vt:lpstr>IntegrityImpactValues</vt:lpstr>
    </vt:vector>
  </TitlesOfParts>
  <Company>PISD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Hazard Analysis Template</dc:title>
  <dc:creator>Michelle Murray</dc:creator>
  <cp:lastModifiedBy>karthikbr1326@gmail.com</cp:lastModifiedBy>
  <cp:lastPrinted>2022-03-01T16:24:34Z</cp:lastPrinted>
  <dcterms:created xsi:type="dcterms:W3CDTF">2006-03-22T03:38:51Z</dcterms:created>
  <dcterms:modified xsi:type="dcterms:W3CDTF">2023-05-07T18:21:26Z</dcterms:modified>
</cp:coreProperties>
</file>